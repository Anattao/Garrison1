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gunckel\Documents\Garrison Project\Git Repository\"/>
    </mc:Choice>
  </mc:AlternateContent>
  <xr:revisionPtr revIDLastSave="0" documentId="13_ncr:1_{C5238B9A-8640-4D04-9C3C-5D09DA54D038}" xr6:coauthVersionLast="28" xr6:coauthVersionMax="28" xr10:uidLastSave="{00000000-0000-0000-0000-000000000000}"/>
  <bookViews>
    <workbookView xWindow="0" yWindow="0" windowWidth="19200" windowHeight="6940" xr2:uid="{00000000-000D-0000-FFFF-FFFF00000000}"/>
  </bookViews>
  <sheets>
    <sheet name="User Form" sheetId="15" r:id="rId1"/>
    <sheet name="Companies by Industry" sheetId="25" r:id="rId2"/>
    <sheet name="Converted GISC" sheetId="22" r:id="rId3"/>
    <sheet name="GICS Classification" sheetId="21" r:id="rId4"/>
    <sheet name="S&amp;P 500" sheetId="17" r:id="rId5"/>
    <sheet name="Sectors and Industries" sheetId="14" r:id="rId6"/>
    <sheet name="Financial" sheetId="1" state="hidden" r:id="rId7"/>
    <sheet name="Utility" sheetId="2" state="hidden" r:id="rId8"/>
    <sheet name="Consumer Discretionary" sheetId="3" state="hidden" r:id="rId9"/>
    <sheet name="Consumer Staples" sheetId="4" state="hidden" r:id="rId10"/>
    <sheet name="Energy" sheetId="5" state="hidden" r:id="rId11"/>
    <sheet name="Health Care" sheetId="6" state="hidden" r:id="rId12"/>
    <sheet name="Industrials" sheetId="7" state="hidden" r:id="rId13"/>
    <sheet name="Information Technology" sheetId="8" state="hidden" r:id="rId14"/>
    <sheet name="Telecom" sheetId="9" state="hidden" r:id="rId15"/>
    <sheet name="Material" sheetId="10" state="hidden" r:id="rId16"/>
    <sheet name="Real Estate" sheetId="11" state="hidden" r:id="rId17"/>
  </sheets>
  <definedNames>
    <definedName name="Consumer_Discretionary">'Sectors and Industries'!$C$2:$C$13</definedName>
    <definedName name="Consumer_Staples">'Sectors and Industries'!$D$2:$D$7</definedName>
    <definedName name="Energy">'Sectors and Industries'!$E$2:$E$3</definedName>
    <definedName name="ExternalData_1" localSheetId="3" hidden="1">'GICS Classification'!$A$1:$H$159</definedName>
    <definedName name="Financials">'Sectors and Industries'!$F$2:$F$8</definedName>
    <definedName name="Health_Care">'Sectors and Industries'!$G$2:$G$7</definedName>
    <definedName name="Industrials">'Sectors and Industries'!$H$2:$H$15</definedName>
    <definedName name="Information_Technology">'Sectors and Industries'!$I$2:$I$8</definedName>
    <definedName name="Materials">'Sectors and Industries'!$J$2:$J$6</definedName>
    <definedName name="Real_Estate">'Sectors and Industries'!$K$2:$K$3</definedName>
    <definedName name="Sector">'Sectors and Industries'!$A$2:$A$12</definedName>
    <definedName name="Telecommunications">'Sectors and Industries'!$L$2:$L$3</definedName>
    <definedName name="Utilities">'Sectors and Industries'!$M$2:$M$6</definedName>
  </definedNames>
  <calcPr calcId="171027"/>
</workbook>
</file>

<file path=xl/calcChain.xml><?xml version="1.0" encoding="utf-8"?>
<calcChain xmlns="http://schemas.openxmlformats.org/spreadsheetml/2006/main">
  <c r="I2" i="17" l="1"/>
  <c r="I3" i="17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I102" i="17"/>
  <c r="I103" i="17"/>
  <c r="I104" i="17"/>
  <c r="I105" i="17"/>
  <c r="I106" i="17"/>
  <c r="I107" i="17"/>
  <c r="I108" i="17"/>
  <c r="I109" i="17"/>
  <c r="I110" i="17"/>
  <c r="I111" i="17"/>
  <c r="I112" i="17"/>
  <c r="I113" i="17"/>
  <c r="I114" i="17"/>
  <c r="I115" i="17"/>
  <c r="I116" i="17"/>
  <c r="I117" i="17"/>
  <c r="I118" i="17"/>
  <c r="I119" i="17"/>
  <c r="I120" i="17"/>
  <c r="I121" i="17"/>
  <c r="I122" i="17"/>
  <c r="I123" i="17"/>
  <c r="I124" i="17"/>
  <c r="I125" i="17"/>
  <c r="I126" i="17"/>
  <c r="I127" i="17"/>
  <c r="I128" i="17"/>
  <c r="I129" i="17"/>
  <c r="I130" i="17"/>
  <c r="I131" i="17"/>
  <c r="I132" i="17"/>
  <c r="I133" i="17"/>
  <c r="I134" i="17"/>
  <c r="I135" i="17"/>
  <c r="I136" i="17"/>
  <c r="I137" i="17"/>
  <c r="I138" i="17"/>
  <c r="I139" i="17"/>
  <c r="I140" i="17"/>
  <c r="I141" i="17"/>
  <c r="I142" i="17"/>
  <c r="I143" i="17"/>
  <c r="I144" i="17"/>
  <c r="I145" i="17"/>
  <c r="I146" i="17"/>
  <c r="I147" i="17"/>
  <c r="I148" i="17"/>
  <c r="I149" i="17"/>
  <c r="I150" i="17"/>
  <c r="I151" i="17"/>
  <c r="I152" i="17"/>
  <c r="I153" i="17"/>
  <c r="I154" i="17"/>
  <c r="I155" i="17"/>
  <c r="I156" i="17"/>
  <c r="I157" i="17"/>
  <c r="I158" i="17"/>
  <c r="I159" i="17"/>
  <c r="I160" i="17"/>
  <c r="I161" i="17"/>
  <c r="I162" i="17"/>
  <c r="I163" i="17"/>
  <c r="I164" i="17"/>
  <c r="I165" i="17"/>
  <c r="I166" i="17"/>
  <c r="I167" i="17"/>
  <c r="I168" i="17"/>
  <c r="I169" i="17"/>
  <c r="I170" i="17"/>
  <c r="I171" i="17"/>
  <c r="I172" i="17"/>
  <c r="I173" i="17"/>
  <c r="I174" i="17"/>
  <c r="I175" i="17"/>
  <c r="I176" i="17"/>
  <c r="I177" i="17"/>
  <c r="I178" i="17"/>
  <c r="I179" i="17"/>
  <c r="I180" i="17"/>
  <c r="I181" i="17"/>
  <c r="I182" i="17"/>
  <c r="I183" i="17"/>
  <c r="I184" i="17"/>
  <c r="I185" i="17"/>
  <c r="I186" i="17"/>
  <c r="I187" i="17"/>
  <c r="I188" i="17"/>
  <c r="I189" i="17"/>
  <c r="I190" i="17"/>
  <c r="I191" i="17"/>
  <c r="I192" i="17"/>
  <c r="I193" i="17"/>
  <c r="I194" i="17"/>
  <c r="I195" i="17"/>
  <c r="I196" i="17"/>
  <c r="I197" i="17"/>
  <c r="I198" i="17"/>
  <c r="I199" i="17"/>
  <c r="I200" i="17"/>
  <c r="I201" i="17"/>
  <c r="I202" i="17"/>
  <c r="I203" i="17"/>
  <c r="I204" i="17"/>
  <c r="I205" i="17"/>
  <c r="I206" i="17"/>
  <c r="I207" i="17"/>
  <c r="I208" i="17"/>
  <c r="I209" i="17"/>
  <c r="I210" i="17"/>
  <c r="I211" i="17"/>
  <c r="I212" i="17"/>
  <c r="I213" i="17"/>
  <c r="I214" i="17"/>
  <c r="I215" i="17"/>
  <c r="I216" i="17"/>
  <c r="I217" i="17"/>
  <c r="I218" i="17"/>
  <c r="I219" i="17"/>
  <c r="I220" i="17"/>
  <c r="I221" i="17"/>
  <c r="I222" i="17"/>
  <c r="I223" i="17"/>
  <c r="I224" i="17"/>
  <c r="I225" i="17"/>
  <c r="I226" i="17"/>
  <c r="I227" i="17"/>
  <c r="I228" i="17"/>
  <c r="I229" i="17"/>
  <c r="I230" i="17"/>
  <c r="I231" i="17"/>
  <c r="I232" i="17"/>
  <c r="I233" i="17"/>
  <c r="I234" i="17"/>
  <c r="I235" i="17"/>
  <c r="I236" i="17"/>
  <c r="I237" i="17"/>
  <c r="I238" i="17"/>
  <c r="I239" i="17"/>
  <c r="I240" i="17"/>
  <c r="I241" i="17"/>
  <c r="I242" i="17"/>
  <c r="I243" i="17"/>
  <c r="I244" i="17"/>
  <c r="I245" i="17"/>
  <c r="I246" i="17"/>
  <c r="I247" i="17"/>
  <c r="I248" i="17"/>
  <c r="I249" i="17"/>
  <c r="I250" i="17"/>
  <c r="I251" i="17"/>
  <c r="I252" i="17"/>
  <c r="I253" i="17"/>
  <c r="I254" i="17"/>
  <c r="I255" i="17"/>
  <c r="I256" i="17"/>
  <c r="I257" i="17"/>
  <c r="I258" i="17"/>
  <c r="I259" i="17"/>
  <c r="I260" i="17"/>
  <c r="I261" i="17"/>
  <c r="I262" i="17"/>
  <c r="I263" i="17"/>
  <c r="I264" i="17"/>
  <c r="I265" i="17"/>
  <c r="I266" i="17"/>
  <c r="I267" i="17"/>
  <c r="I268" i="17"/>
  <c r="I269" i="17"/>
  <c r="I270" i="17"/>
  <c r="I271" i="17"/>
  <c r="I272" i="17"/>
  <c r="I273" i="17"/>
  <c r="I274" i="17"/>
  <c r="I275" i="17"/>
  <c r="I276" i="17"/>
  <c r="I277" i="17"/>
  <c r="I278" i="17"/>
  <c r="I279" i="17"/>
  <c r="I280" i="17"/>
  <c r="I281" i="17"/>
  <c r="I282" i="17"/>
  <c r="I283" i="17"/>
  <c r="I284" i="17"/>
  <c r="I285" i="17"/>
  <c r="I286" i="17"/>
  <c r="I287" i="17"/>
  <c r="I288" i="17"/>
  <c r="I289" i="17"/>
  <c r="I290" i="17"/>
  <c r="I291" i="17"/>
  <c r="I292" i="17"/>
  <c r="I293" i="17"/>
  <c r="I294" i="17"/>
  <c r="I295" i="17"/>
  <c r="I296" i="17"/>
  <c r="I297" i="17"/>
  <c r="I298" i="17"/>
  <c r="I299" i="17"/>
  <c r="I300" i="17"/>
  <c r="I301" i="17"/>
  <c r="I302" i="17"/>
  <c r="I303" i="17"/>
  <c r="I304" i="17"/>
  <c r="I305" i="17"/>
  <c r="I306" i="17"/>
  <c r="I307" i="17"/>
  <c r="I308" i="17"/>
  <c r="I309" i="17"/>
  <c r="I310" i="17"/>
  <c r="I311" i="17"/>
  <c r="I312" i="17"/>
  <c r="I313" i="17"/>
  <c r="I314" i="17"/>
  <c r="I315" i="17"/>
  <c r="I316" i="17"/>
  <c r="I317" i="17"/>
  <c r="I318" i="17"/>
  <c r="I319" i="17"/>
  <c r="I320" i="17"/>
  <c r="I321" i="17"/>
  <c r="I322" i="17"/>
  <c r="I323" i="17"/>
  <c r="I324" i="17"/>
  <c r="I325" i="17"/>
  <c r="I326" i="17"/>
  <c r="I327" i="17"/>
  <c r="I328" i="17"/>
  <c r="I329" i="17"/>
  <c r="I330" i="17"/>
  <c r="I331" i="17"/>
  <c r="I332" i="17"/>
  <c r="I333" i="17"/>
  <c r="I334" i="17"/>
  <c r="I335" i="17"/>
  <c r="I336" i="17"/>
  <c r="I337" i="17"/>
  <c r="I338" i="17"/>
  <c r="I339" i="17"/>
  <c r="I340" i="17"/>
  <c r="I341" i="17"/>
  <c r="I342" i="17"/>
  <c r="I343" i="17"/>
  <c r="I344" i="17"/>
  <c r="I345" i="17"/>
  <c r="I346" i="17"/>
  <c r="I347" i="17"/>
  <c r="I348" i="17"/>
  <c r="I349" i="17"/>
  <c r="I350" i="17"/>
  <c r="I351" i="17"/>
  <c r="I352" i="17"/>
  <c r="I353" i="17"/>
  <c r="I354" i="17"/>
  <c r="I355" i="17"/>
  <c r="I356" i="17"/>
  <c r="I357" i="17"/>
  <c r="I358" i="17"/>
  <c r="I359" i="17"/>
  <c r="I360" i="17"/>
  <c r="I361" i="17"/>
  <c r="I362" i="17"/>
  <c r="I363" i="17"/>
  <c r="I364" i="17"/>
  <c r="I365" i="17"/>
  <c r="I366" i="17"/>
  <c r="I367" i="17"/>
  <c r="I368" i="17"/>
  <c r="I369" i="17"/>
  <c r="I370" i="17"/>
  <c r="I371" i="17"/>
  <c r="I372" i="17"/>
  <c r="I373" i="17"/>
  <c r="I374" i="17"/>
  <c r="I375" i="17"/>
  <c r="I376" i="17"/>
  <c r="I377" i="17"/>
  <c r="I378" i="17"/>
  <c r="I379" i="17"/>
  <c r="I380" i="17"/>
  <c r="I381" i="17"/>
  <c r="I382" i="17"/>
  <c r="I383" i="17"/>
  <c r="I384" i="17"/>
  <c r="I385" i="17"/>
  <c r="I386" i="17"/>
  <c r="I387" i="17"/>
  <c r="I388" i="17"/>
  <c r="I389" i="17"/>
  <c r="I390" i="17"/>
  <c r="I391" i="17"/>
  <c r="I392" i="17"/>
  <c r="I393" i="17"/>
  <c r="I394" i="17"/>
  <c r="I395" i="17"/>
  <c r="I396" i="17"/>
  <c r="I397" i="17"/>
  <c r="I398" i="17"/>
  <c r="I399" i="17"/>
  <c r="I400" i="17"/>
  <c r="I401" i="17"/>
  <c r="I402" i="17"/>
  <c r="I403" i="17"/>
  <c r="I404" i="17"/>
  <c r="I405" i="17"/>
  <c r="I406" i="17"/>
  <c r="I407" i="17"/>
  <c r="I408" i="17"/>
  <c r="I409" i="17"/>
  <c r="I410" i="17"/>
  <c r="I411" i="17"/>
  <c r="I412" i="17"/>
  <c r="I413" i="17"/>
  <c r="I414" i="17"/>
  <c r="I415" i="17"/>
  <c r="I416" i="17"/>
  <c r="I417" i="17"/>
  <c r="I418" i="17"/>
  <c r="I419" i="17"/>
  <c r="I420" i="17"/>
  <c r="I421" i="17"/>
  <c r="I422" i="17"/>
  <c r="I423" i="17"/>
  <c r="I424" i="17"/>
  <c r="I425" i="17"/>
  <c r="I426" i="17"/>
  <c r="I427" i="17"/>
  <c r="I428" i="17"/>
  <c r="I429" i="17"/>
  <c r="I430" i="17"/>
  <c r="I431" i="17"/>
  <c r="I432" i="17"/>
  <c r="I433" i="17"/>
  <c r="I434" i="17"/>
  <c r="I435" i="17"/>
  <c r="I436" i="17"/>
  <c r="I437" i="17"/>
  <c r="I438" i="17"/>
  <c r="I439" i="17"/>
  <c r="I440" i="17"/>
  <c r="I441" i="17"/>
  <c r="I442" i="17"/>
  <c r="I443" i="17"/>
  <c r="I444" i="17"/>
  <c r="I445" i="17"/>
  <c r="I446" i="17"/>
  <c r="I447" i="17"/>
  <c r="I448" i="17"/>
  <c r="I449" i="17"/>
  <c r="I450" i="17"/>
  <c r="I451" i="17"/>
  <c r="I452" i="17"/>
  <c r="I453" i="17"/>
  <c r="I454" i="17"/>
  <c r="I455" i="17"/>
  <c r="I456" i="17"/>
  <c r="I457" i="17"/>
  <c r="I458" i="17"/>
  <c r="I459" i="17"/>
  <c r="I460" i="17"/>
  <c r="I461" i="17"/>
  <c r="I462" i="17"/>
  <c r="I463" i="17"/>
  <c r="I464" i="17"/>
  <c r="I465" i="17"/>
  <c r="I466" i="17"/>
  <c r="I467" i="17"/>
  <c r="I468" i="17"/>
  <c r="I469" i="17"/>
  <c r="I470" i="17"/>
  <c r="I471" i="17"/>
  <c r="I472" i="17"/>
  <c r="I473" i="17"/>
  <c r="I474" i="17"/>
  <c r="I475" i="17"/>
  <c r="I476" i="17"/>
  <c r="I477" i="17"/>
  <c r="I478" i="17"/>
  <c r="I479" i="17"/>
  <c r="I480" i="17"/>
  <c r="I481" i="17"/>
  <c r="I482" i="17"/>
  <c r="I483" i="17"/>
  <c r="I484" i="17"/>
  <c r="I485" i="17"/>
  <c r="I486" i="17"/>
  <c r="I487" i="17"/>
  <c r="I488" i="17"/>
  <c r="I489" i="17"/>
  <c r="I490" i="17"/>
  <c r="I491" i="17"/>
  <c r="I492" i="17"/>
  <c r="I493" i="17"/>
  <c r="I494" i="17"/>
  <c r="I495" i="17"/>
  <c r="I496" i="17"/>
  <c r="I497" i="17"/>
  <c r="I498" i="17"/>
  <c r="I499" i="17"/>
  <c r="I500" i="17"/>
  <c r="I501" i="17"/>
  <c r="I502" i="17"/>
  <c r="I503" i="17"/>
  <c r="I504" i="17"/>
  <c r="I505" i="17"/>
  <c r="I506" i="17"/>
  <c r="C3" i="22" l="1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2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2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0" i="22"/>
  <c r="A9" i="22"/>
  <c r="A3" i="22"/>
  <c r="A4" i="22"/>
  <c r="A5" i="22"/>
  <c r="A6" i="22"/>
  <c r="A7" i="22"/>
  <c r="A8" i="22"/>
  <c r="A2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Classification[edit]" description="Connection to the 'Classification[edit]' query in the workbook." type="5" refreshedVersion="6" background="1" saveData="1">
    <dbPr connection="Provider=Microsoft.Mashup.OleDb.1;Data Source=$Workbook$;Location=Classification[edit];Extended Properties=&quot;&quot;" command="SELECT * FROM [Classification[edit]]]"/>
  </connection>
  <connection id="2" xr16:uid="{00000000-0015-0000-FFFF-FFFF01000000}" keepAlive="1" name="Query - S&amp;P 500 Component Stocks[edit]" description="Connection to the 'S&amp;P 500 Component Stocks[edit]' query in the workbook." type="5" refreshedVersion="6" background="1" saveData="1">
    <dbPr connection="Provider=Microsoft.Mashup.OleDb.1;Data Source=$Workbook$;Location=S&amp;P 500 Component Stocks[edit];Extended Properties=&quot;&quot;" command="SELECT * FROM [S&amp;P 500 Component Stocks[edit]]]"/>
  </connection>
  <connection id="3" xr16:uid="{00000000-0015-0000-FFFF-FFFF02000000}" keepAlive="1" name="Query - Table 2" description="Connection to the 'Table 2' query in the workbook." type="5" refreshedVersion="6" background="1" saveData="1">
    <dbPr connection="Provider=Microsoft.Mashup.OleDb.1;Data Source=$Workbook$;Location=Table 2;Extended Properties=&quot;&quot;" command="SELECT * FROM [Table 2]"/>
  </connection>
</connections>
</file>

<file path=xl/sharedStrings.xml><?xml version="1.0" encoding="utf-8"?>
<sst xmlns="http://schemas.openxmlformats.org/spreadsheetml/2006/main" count="4442" uniqueCount="1528">
  <si>
    <t>Consumer Finance</t>
  </si>
  <si>
    <t>Insurance</t>
  </si>
  <si>
    <t>Rep. Company</t>
  </si>
  <si>
    <t>1-Yr % Change</t>
  </si>
  <si>
    <t>P/E Ratio</t>
  </si>
  <si>
    <t>PEG Ratio</t>
  </si>
  <si>
    <t>Price/ Sales</t>
  </si>
  <si>
    <t>Price/ Book</t>
  </si>
  <si>
    <t>EV/ Revenue</t>
  </si>
  <si>
    <t>EV/ EBTIDA</t>
  </si>
  <si>
    <t>average P/E</t>
  </si>
  <si>
    <t>Electric Utilities</t>
  </si>
  <si>
    <t>Gas Utilities</t>
  </si>
  <si>
    <t>Independent Power and Renewable Electricity Producers</t>
  </si>
  <si>
    <t>Multi-Utilities</t>
  </si>
  <si>
    <t>Water Utilities</t>
  </si>
  <si>
    <t>Auto Components</t>
  </si>
  <si>
    <t>Automobiles</t>
  </si>
  <si>
    <t>Distributors</t>
  </si>
  <si>
    <t>Diversified Consumer Services</t>
  </si>
  <si>
    <t>Hotels, Restaurants &amp; Leisure</t>
  </si>
  <si>
    <t>Household Durables</t>
  </si>
  <si>
    <t>Internet &amp; Catalog Retail</t>
  </si>
  <si>
    <t>Leisure Products</t>
  </si>
  <si>
    <t>Media</t>
  </si>
  <si>
    <t>Multiline Retail</t>
  </si>
  <si>
    <t>Specialty Retail</t>
  </si>
  <si>
    <t>Textiles, Apparel &amp; Luxury Goods</t>
  </si>
  <si>
    <t>Beverages</t>
  </si>
  <si>
    <t>Food &amp; Staples Retailing</t>
  </si>
  <si>
    <t>Food Products</t>
  </si>
  <si>
    <t>Household Products</t>
  </si>
  <si>
    <t>Personal Products</t>
  </si>
  <si>
    <t>Tobacco</t>
  </si>
  <si>
    <t>Energy Equipment &amp; Services</t>
  </si>
  <si>
    <t>Oil, Gas &amp; Consumable Fuels</t>
  </si>
  <si>
    <t>Biotechnology</t>
  </si>
  <si>
    <t>Health Care Equipment &amp; Supplies</t>
  </si>
  <si>
    <t>Health Care Providers &amp; Services</t>
  </si>
  <si>
    <t>Health Care Technology</t>
  </si>
  <si>
    <t>Life Sciences Tools &amp; Services</t>
  </si>
  <si>
    <t>Pharmaceuticals</t>
  </si>
  <si>
    <t>Aerospace &amp; Defense</t>
  </si>
  <si>
    <t>Air Freight &amp; Logistics</t>
  </si>
  <si>
    <t>Airlines</t>
  </si>
  <si>
    <t>Building Products</t>
  </si>
  <si>
    <t>Commercial Services &amp; Supplies</t>
  </si>
  <si>
    <t>Construction &amp; Engineering</t>
  </si>
  <si>
    <t>Electrical Equipment</t>
  </si>
  <si>
    <t>Industrial Conglomerates</t>
  </si>
  <si>
    <t>Machinery</t>
  </si>
  <si>
    <t>Marine</t>
  </si>
  <si>
    <t>Professional Services</t>
  </si>
  <si>
    <t>Road &amp; Rail</t>
  </si>
  <si>
    <t>Trading Companies &amp; Distributors</t>
  </si>
  <si>
    <t>Transportation Infrastructure</t>
  </si>
  <si>
    <t>Communications Equipment</t>
  </si>
  <si>
    <t>Electronic Equipment, Instruments &amp; Components</t>
  </si>
  <si>
    <t>IT Services</t>
  </si>
  <si>
    <t>Internet Software &amp; Services</t>
  </si>
  <si>
    <t>Semiconductors &amp; Semiconductor Equipment</t>
  </si>
  <si>
    <t>Software</t>
  </si>
  <si>
    <t>Technology Hardware, Storage &amp; Peripherals</t>
  </si>
  <si>
    <t>Diversified Telecommunication Services</t>
  </si>
  <si>
    <t>Wireless Telecommunication Services</t>
  </si>
  <si>
    <t>Chemicals</t>
  </si>
  <si>
    <t>Construction Materials</t>
  </si>
  <si>
    <t>Containers &amp; Packaging</t>
  </si>
  <si>
    <t>Metals &amp; Mining</t>
  </si>
  <si>
    <t>Paper &amp; Forest Products</t>
  </si>
  <si>
    <t>Equity Real Estate Investment Trusts</t>
  </si>
  <si>
    <t>Real Estate Management &amp; Development</t>
  </si>
  <si>
    <t>Consumer Discretionary</t>
  </si>
  <si>
    <t>Consumer Staples</t>
  </si>
  <si>
    <t>Energy</t>
  </si>
  <si>
    <t>Financials</t>
  </si>
  <si>
    <t>Health Care</t>
  </si>
  <si>
    <t>Industrials</t>
  </si>
  <si>
    <t>Information Technology</t>
  </si>
  <si>
    <t>Materials</t>
  </si>
  <si>
    <t>Real Estate</t>
  </si>
  <si>
    <t>Telecommunication Services</t>
  </si>
  <si>
    <t>Utilities</t>
  </si>
  <si>
    <t>Company Name</t>
  </si>
  <si>
    <t>Stock Ticker</t>
  </si>
  <si>
    <t>Sector</t>
  </si>
  <si>
    <t>Industry</t>
  </si>
  <si>
    <t>Telecommunications</t>
  </si>
  <si>
    <t>Consumer_Discretionary</t>
  </si>
  <si>
    <t>Consumer_Staples</t>
  </si>
  <si>
    <t>Health_Care</t>
  </si>
  <si>
    <t>Information_Technology</t>
  </si>
  <si>
    <t>Last 14 Days of Stock Data</t>
  </si>
  <si>
    <t>Day</t>
  </si>
  <si>
    <t>Close Price</t>
  </si>
  <si>
    <t>Type of Investor</t>
  </si>
  <si>
    <t>Ticker symbol</t>
  </si>
  <si>
    <t>Security</t>
  </si>
  <si>
    <t>SEC filings</t>
  </si>
  <si>
    <t>GICS Sector</t>
  </si>
  <si>
    <t>GICS Sub Industry</t>
  </si>
  <si>
    <t>Address of Headquarters</t>
  </si>
  <si>
    <t>Date first added</t>
  </si>
  <si>
    <t>CIK</t>
  </si>
  <si>
    <t>MMM</t>
  </si>
  <si>
    <t>3M Company</t>
  </si>
  <si>
    <t>reports</t>
  </si>
  <si>
    <t>St. Paul, Minnesota</t>
  </si>
  <si>
    <t>ABT</t>
  </si>
  <si>
    <t>Abbott Laboratories</t>
  </si>
  <si>
    <t>Health Care Equipment</t>
  </si>
  <si>
    <t>North Chicago, Illinois</t>
  </si>
  <si>
    <t>ABBV</t>
  </si>
  <si>
    <t>AbbVie Inc.</t>
  </si>
  <si>
    <t>ACN</t>
  </si>
  <si>
    <t>Accenture plc</t>
  </si>
  <si>
    <t>IT Consulting &amp; Other Services</t>
  </si>
  <si>
    <t>Dublin, Ireland</t>
  </si>
  <si>
    <t>ATVI</t>
  </si>
  <si>
    <t>Activision Blizzard</t>
  </si>
  <si>
    <t>Home Entertainment Software</t>
  </si>
  <si>
    <t>Santa Monica, California</t>
  </si>
  <si>
    <t>AYI</t>
  </si>
  <si>
    <t>Acuity Brands Inc</t>
  </si>
  <si>
    <t>Electrical Components &amp; Equipment</t>
  </si>
  <si>
    <t>Atlanta, Georgia</t>
  </si>
  <si>
    <t>ADBE</t>
  </si>
  <si>
    <t>Adobe Systems Inc</t>
  </si>
  <si>
    <t>Application Software</t>
  </si>
  <si>
    <t>San Jose, California</t>
  </si>
  <si>
    <t>AMD</t>
  </si>
  <si>
    <t>Advanced Micro Devices Inc</t>
  </si>
  <si>
    <t>Semiconductors</t>
  </si>
  <si>
    <t>Sunnyvale, California</t>
  </si>
  <si>
    <t>AAP</t>
  </si>
  <si>
    <t>Advance Auto Parts</t>
  </si>
  <si>
    <t>Automotive Retail</t>
  </si>
  <si>
    <t>Roanoke, Virginia</t>
  </si>
  <si>
    <t>AES</t>
  </si>
  <si>
    <t>AES Corp</t>
  </si>
  <si>
    <t>Independent Power Producers &amp; Energy Traders</t>
  </si>
  <si>
    <t>Arlington, Virginia</t>
  </si>
  <si>
    <t>AET</t>
  </si>
  <si>
    <t>Aetna Inc</t>
  </si>
  <si>
    <t>Managed Health Care</t>
  </si>
  <si>
    <t>Hartford, Connecticut</t>
  </si>
  <si>
    <t>AMG</t>
  </si>
  <si>
    <t>Affiliated Managers Group Inc</t>
  </si>
  <si>
    <t>Asset Management &amp; Custody Banks</t>
  </si>
  <si>
    <t>Beverly, Massachusetts</t>
  </si>
  <si>
    <t>AFL</t>
  </si>
  <si>
    <t>AFLAC Inc</t>
  </si>
  <si>
    <t>Life &amp; Health Insurance</t>
  </si>
  <si>
    <t>Columbus, Georgia</t>
  </si>
  <si>
    <t>A</t>
  </si>
  <si>
    <t>Agilent Technologies Inc</t>
  </si>
  <si>
    <t>Santa Clara, California</t>
  </si>
  <si>
    <t>APD</t>
  </si>
  <si>
    <t>Air Products &amp; Chemicals Inc</t>
  </si>
  <si>
    <t>Industrial Gases</t>
  </si>
  <si>
    <t>Allentown, Pennsylvania</t>
  </si>
  <si>
    <t>AKAM</t>
  </si>
  <si>
    <t>Akamai Technologies Inc</t>
  </si>
  <si>
    <t>Cambridge, Massachusetts</t>
  </si>
  <si>
    <t>ALK</t>
  </si>
  <si>
    <t>Alaska Air Group Inc</t>
  </si>
  <si>
    <t>Seattle, Washington</t>
  </si>
  <si>
    <t>ALB</t>
  </si>
  <si>
    <t>Albemarle Corp</t>
  </si>
  <si>
    <t>Specialty Chemicals</t>
  </si>
  <si>
    <t>Baton Rouge, Louisiana</t>
  </si>
  <si>
    <t>ARE</t>
  </si>
  <si>
    <t>Alexandria Real Estate Equities Inc</t>
  </si>
  <si>
    <t>Office REITs</t>
  </si>
  <si>
    <t>Pasadena, California</t>
  </si>
  <si>
    <t>ALXN</t>
  </si>
  <si>
    <t>Alexion Pharmaceuticals</t>
  </si>
  <si>
    <t>Cheshire, Connecticut</t>
  </si>
  <si>
    <t>ALGN</t>
  </si>
  <si>
    <t>Align Technology</t>
  </si>
  <si>
    <t>Health Care Supplies</t>
  </si>
  <si>
    <t>ALLE</t>
  </si>
  <si>
    <t>Allegion</t>
  </si>
  <si>
    <t>AGN</t>
  </si>
  <si>
    <t>Allergan, Plc</t>
  </si>
  <si>
    <t>ADS</t>
  </si>
  <si>
    <t>Alliance Data Systems</t>
  </si>
  <si>
    <t>Data Processing &amp; Outsourced Services</t>
  </si>
  <si>
    <t>Plano, Texas</t>
  </si>
  <si>
    <t>LNT</t>
  </si>
  <si>
    <t>Alliant Energy Corp</t>
  </si>
  <si>
    <t>Madison, Wisconsin</t>
  </si>
  <si>
    <t>ALL</t>
  </si>
  <si>
    <t>Allstate Corp</t>
  </si>
  <si>
    <t>Property &amp; Casualty Insurance</t>
  </si>
  <si>
    <t>Northfield Township, Illinois</t>
  </si>
  <si>
    <t>GOOGL</t>
  </si>
  <si>
    <t>Alphabet Inc Class A</t>
  </si>
  <si>
    <t>Mountain View, California</t>
  </si>
  <si>
    <t>GOOG</t>
  </si>
  <si>
    <t>Alphabet Inc Class C</t>
  </si>
  <si>
    <t>MO</t>
  </si>
  <si>
    <t>Altria Group Inc</t>
  </si>
  <si>
    <t>Richmond, Virginia</t>
  </si>
  <si>
    <t>AMZN</t>
  </si>
  <si>
    <t>Amazon.com Inc.</t>
  </si>
  <si>
    <t>Internet &amp; Direct Marketing Retail</t>
  </si>
  <si>
    <t>AEE</t>
  </si>
  <si>
    <t>Ameren Corp</t>
  </si>
  <si>
    <t>St. Louis, Missouri</t>
  </si>
  <si>
    <t>AAL</t>
  </si>
  <si>
    <t>American Airlines Group</t>
  </si>
  <si>
    <t>Fort Worth, Texas</t>
  </si>
  <si>
    <t>AEP</t>
  </si>
  <si>
    <t>American Electric Power</t>
  </si>
  <si>
    <t>Columbus, Ohio</t>
  </si>
  <si>
    <t>AXP</t>
  </si>
  <si>
    <t>American Express Co</t>
  </si>
  <si>
    <t>New York, New York</t>
  </si>
  <si>
    <t>AIG</t>
  </si>
  <si>
    <t>American International Group, Inc.</t>
  </si>
  <si>
    <t>AMT</t>
  </si>
  <si>
    <t>American Tower Corp A</t>
  </si>
  <si>
    <t>Specialized REITs</t>
  </si>
  <si>
    <t>Boston, Massachusetts</t>
  </si>
  <si>
    <t>AWK</t>
  </si>
  <si>
    <t>American Water Works Company Inc</t>
  </si>
  <si>
    <t>Voorhees, New Jersey</t>
  </si>
  <si>
    <t>AMP</t>
  </si>
  <si>
    <t>Ameriprise Financial</t>
  </si>
  <si>
    <t>Minneapolis, Minnesota</t>
  </si>
  <si>
    <t>ABC</t>
  </si>
  <si>
    <t>AmerisourceBergen Corp</t>
  </si>
  <si>
    <t>Health Care Distributors</t>
  </si>
  <si>
    <t>Chesterbrook, Pennsylvania</t>
  </si>
  <si>
    <t>AME</t>
  </si>
  <si>
    <t>AMETEK Inc.</t>
  </si>
  <si>
    <t>Berwyn, Pennsylvania</t>
  </si>
  <si>
    <t>AMGN</t>
  </si>
  <si>
    <t>Amgen Inc.</t>
  </si>
  <si>
    <t>Thousand Oaks, California</t>
  </si>
  <si>
    <t>APH</t>
  </si>
  <si>
    <t>Amphenol Corp</t>
  </si>
  <si>
    <t>Electronic Components</t>
  </si>
  <si>
    <t>Wallingford, Connecticut</t>
  </si>
  <si>
    <t>APC</t>
  </si>
  <si>
    <t>Anadarko Petroleum Corp</t>
  </si>
  <si>
    <t>Oil &amp; Gas Exploration &amp; Production</t>
  </si>
  <si>
    <t>The Woodlands, Texas</t>
  </si>
  <si>
    <t>ADI</t>
  </si>
  <si>
    <t>Analog Devices, Inc.</t>
  </si>
  <si>
    <t>Norwood, Massachusetts</t>
  </si>
  <si>
    <t>ANDV</t>
  </si>
  <si>
    <t>Andeavor</t>
  </si>
  <si>
    <t>Oil &amp; Gas Refining &amp; Marketing</t>
  </si>
  <si>
    <t>San Antonio, Texas</t>
  </si>
  <si>
    <t>ANSS</t>
  </si>
  <si>
    <t>ANSYS</t>
  </si>
  <si>
    <t>Canonsburg, Pennsylvania</t>
  </si>
  <si>
    <t>ANTM</t>
  </si>
  <si>
    <t>Anthem Inc.</t>
  </si>
  <si>
    <t>Indianapolis, Indiana</t>
  </si>
  <si>
    <t>AON</t>
  </si>
  <si>
    <t>Aon plc</t>
  </si>
  <si>
    <t>Insurance Brokers</t>
  </si>
  <si>
    <t>London, United Kingdom</t>
  </si>
  <si>
    <t>AOS</t>
  </si>
  <si>
    <t>A.O. Smith Corp</t>
  </si>
  <si>
    <t>Milwaukee, Wisconsin</t>
  </si>
  <si>
    <t>APA</t>
  </si>
  <si>
    <t>Apache Corporation</t>
  </si>
  <si>
    <t>Houston, Texas</t>
  </si>
  <si>
    <t>AIV</t>
  </si>
  <si>
    <t>Apartment Investment &amp; Management</t>
  </si>
  <si>
    <t>Residential REITs</t>
  </si>
  <si>
    <t>Denver, Colorado</t>
  </si>
  <si>
    <t>AAPL</t>
  </si>
  <si>
    <t>Apple Inc.</t>
  </si>
  <si>
    <t>Cupertino, California</t>
  </si>
  <si>
    <t>AMAT</t>
  </si>
  <si>
    <t>Applied Materials Inc.</t>
  </si>
  <si>
    <t>Semiconductor Equipment</t>
  </si>
  <si>
    <t>APTV</t>
  </si>
  <si>
    <t>Aptiv Plc</t>
  </si>
  <si>
    <t>Auto Parts &amp; Equipment</t>
  </si>
  <si>
    <t>Gillingham, Kent, United Kingdom</t>
  </si>
  <si>
    <t>ADM</t>
  </si>
  <si>
    <t>Archer-Daniels-Midland Co</t>
  </si>
  <si>
    <t>Agricultural Products</t>
  </si>
  <si>
    <t>Decatur, Illinois</t>
  </si>
  <si>
    <t>ARNC</t>
  </si>
  <si>
    <t>Arconic Inc.</t>
  </si>
  <si>
    <t>AJG</t>
  </si>
  <si>
    <t>Arthur J. Gallagher &amp; Co.</t>
  </si>
  <si>
    <t>Itasca, Illinois</t>
  </si>
  <si>
    <t>AIZ</t>
  </si>
  <si>
    <t>Assurant Inc.</t>
  </si>
  <si>
    <t>Multi-line Insurance</t>
  </si>
  <si>
    <t>T</t>
  </si>
  <si>
    <t>AT&amp;T Inc.</t>
  </si>
  <si>
    <t>Integrated Telecommunication Services</t>
  </si>
  <si>
    <t>Dallas, Texas</t>
  </si>
  <si>
    <t>ADSK</t>
  </si>
  <si>
    <t>Autodesk Inc.</t>
  </si>
  <si>
    <t>San Rafael, California</t>
  </si>
  <si>
    <t>ADP</t>
  </si>
  <si>
    <t>Automatic Data Processing</t>
  </si>
  <si>
    <t>Roseland, New Jersey</t>
  </si>
  <si>
    <t>AZO</t>
  </si>
  <si>
    <t>AutoZone Inc</t>
  </si>
  <si>
    <t>Specialty Stores</t>
  </si>
  <si>
    <t>Memphis, Tennessee</t>
  </si>
  <si>
    <t>AVB</t>
  </si>
  <si>
    <t>AvalonBay Communities, Inc.</t>
  </si>
  <si>
    <t>AVY</t>
  </si>
  <si>
    <t>Avery Dennison Corp</t>
  </si>
  <si>
    <t>Paper Packaging</t>
  </si>
  <si>
    <t>Glendale, California</t>
  </si>
  <si>
    <t>BHGE</t>
  </si>
  <si>
    <t>Baker Hughes, a GE Company</t>
  </si>
  <si>
    <t>Oil &amp; Gas Equipment &amp; Services</t>
  </si>
  <si>
    <t>BLL</t>
  </si>
  <si>
    <t>Ball Corp</t>
  </si>
  <si>
    <t>Metal &amp; Glass Containers</t>
  </si>
  <si>
    <t>Broomfield, Colorado</t>
  </si>
  <si>
    <t>BAC</t>
  </si>
  <si>
    <t>Bank of America Corp</t>
  </si>
  <si>
    <t>Diversified Banks</t>
  </si>
  <si>
    <t>Charlotte, North Carolina</t>
  </si>
  <si>
    <t>BK</t>
  </si>
  <si>
    <t>The Bank of New York Mellon Corp.</t>
  </si>
  <si>
    <t>BAX</t>
  </si>
  <si>
    <t>Baxter International Inc.</t>
  </si>
  <si>
    <t>Deerfield, Illinois</t>
  </si>
  <si>
    <t>BBT</t>
  </si>
  <si>
    <t>BB&amp;T Corporation</t>
  </si>
  <si>
    <t>Regional Banks</t>
  </si>
  <si>
    <t>Winston-Salem, North Carolina</t>
  </si>
  <si>
    <t>BDX</t>
  </si>
  <si>
    <t>Becton Dickinson</t>
  </si>
  <si>
    <t>Franklin Lakes, New Jersey</t>
  </si>
  <si>
    <t>BRK.B</t>
  </si>
  <si>
    <t>Berkshire Hathaway</t>
  </si>
  <si>
    <t>Multi-Sector Holdings</t>
  </si>
  <si>
    <t>Omaha, Nebraska</t>
  </si>
  <si>
    <t>BBY</t>
  </si>
  <si>
    <t>Best Buy Co. Inc.</t>
  </si>
  <si>
    <t>Computer &amp; Electronics Retail</t>
  </si>
  <si>
    <t>Richfield, Minnesota</t>
  </si>
  <si>
    <t>BIIB</t>
  </si>
  <si>
    <t>Biogen Inc.</t>
  </si>
  <si>
    <t>Weston, Massachusetts</t>
  </si>
  <si>
    <t>BLK</t>
  </si>
  <si>
    <t>BlackRock</t>
  </si>
  <si>
    <t>HRB</t>
  </si>
  <si>
    <t>Block H&amp;R</t>
  </si>
  <si>
    <t>Kansas City, Missouri</t>
  </si>
  <si>
    <t>BA</t>
  </si>
  <si>
    <t>Boeing Company</t>
  </si>
  <si>
    <t>Chicago, Illinois</t>
  </si>
  <si>
    <t>BKNG</t>
  </si>
  <si>
    <t>Booking Holdings Inc</t>
  </si>
  <si>
    <t>Norwalk, Connecticut</t>
  </si>
  <si>
    <t>BWA</t>
  </si>
  <si>
    <t>BorgWarner</t>
  </si>
  <si>
    <t>Auburn Hills, Michigan</t>
  </si>
  <si>
    <t>BXP</t>
  </si>
  <si>
    <t>Boston Properties</t>
  </si>
  <si>
    <t>BSX</t>
  </si>
  <si>
    <t>Boston Scientific</t>
  </si>
  <si>
    <t>Marlborough, Massachusetts</t>
  </si>
  <si>
    <t>BHF</t>
  </si>
  <si>
    <t>Brighthouse Financial Inc</t>
  </si>
  <si>
    <t>BMY</t>
  </si>
  <si>
    <t>Bristol-Myers Squibb</t>
  </si>
  <si>
    <t>AVGO</t>
  </si>
  <si>
    <t>Broadcom</t>
  </si>
  <si>
    <t>BF.B</t>
  </si>
  <si>
    <t>Brown-Forman Corp.</t>
  </si>
  <si>
    <t>Distillers &amp; Vintners</t>
  </si>
  <si>
    <t>Louisville, Kentucky</t>
  </si>
  <si>
    <t>CHRW</t>
  </si>
  <si>
    <t>C. H. Robinson Worldwide</t>
  </si>
  <si>
    <t>Eden Prairie, Minnesota</t>
  </si>
  <si>
    <t>CA</t>
  </si>
  <si>
    <t>CA, Inc.</t>
  </si>
  <si>
    <t>Systems Software</t>
  </si>
  <si>
    <t>Islandia, New York</t>
  </si>
  <si>
    <t>COG</t>
  </si>
  <si>
    <t>Cabot Oil &amp; Gas</t>
  </si>
  <si>
    <t>CDNS</t>
  </si>
  <si>
    <t>Cadence Design Systems</t>
  </si>
  <si>
    <t>CPB</t>
  </si>
  <si>
    <t>Campbell Soup</t>
  </si>
  <si>
    <t>Packaged Foods &amp; Meats</t>
  </si>
  <si>
    <t>Camden, New Jersey</t>
  </si>
  <si>
    <t>COF</t>
  </si>
  <si>
    <t>Capital One Financial</t>
  </si>
  <si>
    <t>Tysons Corner, Virginia</t>
  </si>
  <si>
    <t>CAH</t>
  </si>
  <si>
    <t>Cardinal Health Inc.</t>
  </si>
  <si>
    <t>Dublin, Ohio</t>
  </si>
  <si>
    <t>CBOE</t>
  </si>
  <si>
    <t>CBOE Holdings</t>
  </si>
  <si>
    <t>Financial Exchanges &amp; Data</t>
  </si>
  <si>
    <t>KMX</t>
  </si>
  <si>
    <t>Carmax Inc</t>
  </si>
  <si>
    <t>CCL</t>
  </si>
  <si>
    <t>Carnival Corp.</t>
  </si>
  <si>
    <t>Hotels, Resorts &amp; Cruise Lines</t>
  </si>
  <si>
    <t>Miami, Florida</t>
  </si>
  <si>
    <t>CAT</t>
  </si>
  <si>
    <t>Caterpillar Inc.</t>
  </si>
  <si>
    <t>Construction Machinery &amp; Heavy Trucks</t>
  </si>
  <si>
    <t>Peoria, Illinois</t>
  </si>
  <si>
    <t>CBG</t>
  </si>
  <si>
    <t>CBRE Group</t>
  </si>
  <si>
    <t>Real Estate Services</t>
  </si>
  <si>
    <t>Los Angeles, California</t>
  </si>
  <si>
    <t>CBS</t>
  </si>
  <si>
    <t>CBS Corp.</t>
  </si>
  <si>
    <t>Broadcasting</t>
  </si>
  <si>
    <t>CELG</t>
  </si>
  <si>
    <t>Celgene Corp.</t>
  </si>
  <si>
    <t>Summit, New Jersey</t>
  </si>
  <si>
    <t>CNC</t>
  </si>
  <si>
    <t>Centene Corporation</t>
  </si>
  <si>
    <t>St Louis, Missouri</t>
  </si>
  <si>
    <t>CNP</t>
  </si>
  <si>
    <t>CenterPoint Energy</t>
  </si>
  <si>
    <t>CTL</t>
  </si>
  <si>
    <t>CenturyLink Inc</t>
  </si>
  <si>
    <t>Monroe, Louisiana</t>
  </si>
  <si>
    <t>CERN</t>
  </si>
  <si>
    <t>Cerner</t>
  </si>
  <si>
    <t>North Kansas City, Missouri</t>
  </si>
  <si>
    <t>CF</t>
  </si>
  <si>
    <t>CF Industries Holdings Inc</t>
  </si>
  <si>
    <t>Fertilizers &amp; Agricultural Chemicals</t>
  </si>
  <si>
    <t>SCHW</t>
  </si>
  <si>
    <t>Charles Schwab Corporation</t>
  </si>
  <si>
    <t>Investment Banking &amp; Brokerage</t>
  </si>
  <si>
    <t>San Francisco, California</t>
  </si>
  <si>
    <t>CHTR</t>
  </si>
  <si>
    <t>Charter Communications</t>
  </si>
  <si>
    <t>Cable &amp; Satellite</t>
  </si>
  <si>
    <t>Stamford, Connecticut</t>
  </si>
  <si>
    <t>CHK</t>
  </si>
  <si>
    <t>Chesapeake Energy</t>
  </si>
  <si>
    <t>Oklahoma City, Oklahoma</t>
  </si>
  <si>
    <t>CVX</t>
  </si>
  <si>
    <t>Chevron Corp.</t>
  </si>
  <si>
    <t>Integrated Oil &amp; Gas</t>
  </si>
  <si>
    <t>San Ramon, California</t>
  </si>
  <si>
    <t>CMG</t>
  </si>
  <si>
    <t>Chipotle Mexican Grill</t>
  </si>
  <si>
    <t>Restaurants</t>
  </si>
  <si>
    <t>CB</t>
  </si>
  <si>
    <t>Chubb Limited</t>
  </si>
  <si>
    <t>Zurich, Switzerland</t>
  </si>
  <si>
    <t>CHD</t>
  </si>
  <si>
    <t>Church &amp; Dwight</t>
  </si>
  <si>
    <t>Ewing, New Jersey</t>
  </si>
  <si>
    <t>CI</t>
  </si>
  <si>
    <t>CIGNA Corp.</t>
  </si>
  <si>
    <t>Philadelphia, Pennsylvania</t>
  </si>
  <si>
    <t>XEC</t>
  </si>
  <si>
    <t>Cimarex Energy</t>
  </si>
  <si>
    <t>CINF</t>
  </si>
  <si>
    <t>Cincinnati Financial</t>
  </si>
  <si>
    <t>Fairfield, Ohio</t>
  </si>
  <si>
    <t>CTAS</t>
  </si>
  <si>
    <t>Cintas Corporation</t>
  </si>
  <si>
    <t>Diversified Support Services</t>
  </si>
  <si>
    <t>Mason, Ohio</t>
  </si>
  <si>
    <t>CSCO</t>
  </si>
  <si>
    <t>Cisco Systems</t>
  </si>
  <si>
    <t>C</t>
  </si>
  <si>
    <t>Citigroup Inc.</t>
  </si>
  <si>
    <t>CFG</t>
  </si>
  <si>
    <t>Citizens Financial Group</t>
  </si>
  <si>
    <t>Providence, Rhode Island</t>
  </si>
  <si>
    <t>CTXS</t>
  </si>
  <si>
    <t>Citrix Systems</t>
  </si>
  <si>
    <t>Fort Lauderdale, Florida</t>
  </si>
  <si>
    <t>CLX</t>
  </si>
  <si>
    <t>The Clorox Company</t>
  </si>
  <si>
    <t>Oakland, California</t>
  </si>
  <si>
    <t>CME</t>
  </si>
  <si>
    <t>CME Group Inc.</t>
  </si>
  <si>
    <t>CMS</t>
  </si>
  <si>
    <t>CMS Energy</t>
  </si>
  <si>
    <t>Jackson, Michigan</t>
  </si>
  <si>
    <t>KO</t>
  </si>
  <si>
    <t>Coca-Cola Company (The)</t>
  </si>
  <si>
    <t>Soft Drinks</t>
  </si>
  <si>
    <t>CTSH</t>
  </si>
  <si>
    <t>Cognizant Technology Solutions</t>
  </si>
  <si>
    <t>Teaneck, New Jersey</t>
  </si>
  <si>
    <t>CL</t>
  </si>
  <si>
    <t>Colgate-Palmolive</t>
  </si>
  <si>
    <t>CMCSA</t>
  </si>
  <si>
    <t>Comcast Corp.</t>
  </si>
  <si>
    <t>CMA</t>
  </si>
  <si>
    <t>Comerica Inc.</t>
  </si>
  <si>
    <t>CAG</t>
  </si>
  <si>
    <t>Conagra Brands</t>
  </si>
  <si>
    <t>CXO</t>
  </si>
  <si>
    <t>Concho Resources</t>
  </si>
  <si>
    <t>Midland, Texas</t>
  </si>
  <si>
    <t>COP</t>
  </si>
  <si>
    <t>ConocoPhillips</t>
  </si>
  <si>
    <t>ED</t>
  </si>
  <si>
    <t>Consolidated Edison</t>
  </si>
  <si>
    <t>STZ</t>
  </si>
  <si>
    <t>Constellation Brands</t>
  </si>
  <si>
    <t>Victor, New York</t>
  </si>
  <si>
    <t>COO</t>
  </si>
  <si>
    <t>The Cooper Companies</t>
  </si>
  <si>
    <t>Pleasanton, California</t>
  </si>
  <si>
    <t>GLW</t>
  </si>
  <si>
    <t>Corning Inc.</t>
  </si>
  <si>
    <t>Corning, New York</t>
  </si>
  <si>
    <t>COST</t>
  </si>
  <si>
    <t>Costco Wholesale Corp.</t>
  </si>
  <si>
    <t>Hypermarkets &amp; Super Centers</t>
  </si>
  <si>
    <t>Issaquah, Washington</t>
  </si>
  <si>
    <t>COTY</t>
  </si>
  <si>
    <t>Coty, Inc</t>
  </si>
  <si>
    <t>CCI</t>
  </si>
  <si>
    <t>Crown Castle International Corp.</t>
  </si>
  <si>
    <t>CSRA</t>
  </si>
  <si>
    <t>CSRA Inc.</t>
  </si>
  <si>
    <t>Falls Church, Virginia</t>
  </si>
  <si>
    <t>CSX</t>
  </si>
  <si>
    <t>CSX Corp.</t>
  </si>
  <si>
    <t>Railroads</t>
  </si>
  <si>
    <t>Jacksonville, Florida</t>
  </si>
  <si>
    <t>CMI</t>
  </si>
  <si>
    <t>Cummins Inc.</t>
  </si>
  <si>
    <t>Industrial Machinery</t>
  </si>
  <si>
    <t>Columbus, Indiana</t>
  </si>
  <si>
    <t>CVS</t>
  </si>
  <si>
    <t>CVS Health</t>
  </si>
  <si>
    <t>Drug Retail</t>
  </si>
  <si>
    <t>Woonsocket, Rhode Island</t>
  </si>
  <si>
    <t>DHI</t>
  </si>
  <si>
    <t>D. R. Horton</t>
  </si>
  <si>
    <t>Homebuilding</t>
  </si>
  <si>
    <t>DHR</t>
  </si>
  <si>
    <t>Danaher Corp.</t>
  </si>
  <si>
    <t>Washington, D.C.</t>
  </si>
  <si>
    <t>DRI</t>
  </si>
  <si>
    <t>Darden Restaurants</t>
  </si>
  <si>
    <t>Orlando, Florida</t>
  </si>
  <si>
    <t>DVA</t>
  </si>
  <si>
    <t>DaVita Inc.</t>
  </si>
  <si>
    <t>Health Care Facilities</t>
  </si>
  <si>
    <t>DE</t>
  </si>
  <si>
    <t>Deere &amp; Co.</t>
  </si>
  <si>
    <t>Agricultural &amp; Farm Machinery</t>
  </si>
  <si>
    <t>Moline, Illinois</t>
  </si>
  <si>
    <t>DAL</t>
  </si>
  <si>
    <t>Delta Air Lines Inc.</t>
  </si>
  <si>
    <t>XRAY</t>
  </si>
  <si>
    <t>Dentsply Sirona</t>
  </si>
  <si>
    <t>York, Pennsylvania</t>
  </si>
  <si>
    <t>DVN</t>
  </si>
  <si>
    <t>Devon Energy Corp.</t>
  </si>
  <si>
    <t>DLR</t>
  </si>
  <si>
    <t>Digital Realty Trust Inc</t>
  </si>
  <si>
    <t>DFS</t>
  </si>
  <si>
    <t>Discover Financial Services</t>
  </si>
  <si>
    <t>Riverwoods, Illinois</t>
  </si>
  <si>
    <t>DISCA</t>
  </si>
  <si>
    <t>Discovery Communications-A</t>
  </si>
  <si>
    <t>Silver Spring, Maryland</t>
  </si>
  <si>
    <t>DISCK</t>
  </si>
  <si>
    <t>Discovery Communications-C</t>
  </si>
  <si>
    <t>DISH</t>
  </si>
  <si>
    <t>Dish Network</t>
  </si>
  <si>
    <t>Meridian, Colorado</t>
  </si>
  <si>
    <t>DG</t>
  </si>
  <si>
    <t>Dollar General</t>
  </si>
  <si>
    <t>General Merchandise Stores</t>
  </si>
  <si>
    <t>Goodlettsville, Tennessee</t>
  </si>
  <si>
    <t>DLTR</t>
  </si>
  <si>
    <t>Dollar Tree</t>
  </si>
  <si>
    <t>Chesapeake, Virginia</t>
  </si>
  <si>
    <t>D</t>
  </si>
  <si>
    <t>Dominion Energy</t>
  </si>
  <si>
    <t>DOV</t>
  </si>
  <si>
    <t>Dover Corp.</t>
  </si>
  <si>
    <t>Downers Grove, Illinois</t>
  </si>
  <si>
    <t>DWDP</t>
  </si>
  <si>
    <t>DowDuPont</t>
  </si>
  <si>
    <t>Diversified Chemicals</t>
  </si>
  <si>
    <t>Midland, Michigan</t>
  </si>
  <si>
    <t>DPS</t>
  </si>
  <si>
    <t>Dr Pepper Snapple Group</t>
  </si>
  <si>
    <t>DTE</t>
  </si>
  <si>
    <t>DTE Energy Co.</t>
  </si>
  <si>
    <t>Detroit, Michigan</t>
  </si>
  <si>
    <t>DRE</t>
  </si>
  <si>
    <t>Duke Realty Corp</t>
  </si>
  <si>
    <t>Industrial REITs</t>
  </si>
  <si>
    <t>DUK</t>
  </si>
  <si>
    <t>Duke Energy</t>
  </si>
  <si>
    <t>DXC</t>
  </si>
  <si>
    <t>DXC Technology</t>
  </si>
  <si>
    <t>ETFC</t>
  </si>
  <si>
    <t>E*Trade</t>
  </si>
  <si>
    <t>EMN</t>
  </si>
  <si>
    <t>Eastman Chemical</t>
  </si>
  <si>
    <t>Kingsport, Tennessee</t>
  </si>
  <si>
    <t>ETN</t>
  </si>
  <si>
    <t>Eaton Corporation</t>
  </si>
  <si>
    <t>EBAY</t>
  </si>
  <si>
    <t>eBay Inc.</t>
  </si>
  <si>
    <t>ECL</t>
  </si>
  <si>
    <t>Ecolab Inc.</t>
  </si>
  <si>
    <t>EIX</t>
  </si>
  <si>
    <t>Edison Int'l</t>
  </si>
  <si>
    <t>Rosemead, California</t>
  </si>
  <si>
    <t>EW</t>
  </si>
  <si>
    <t>Edwards Lifesciences</t>
  </si>
  <si>
    <t>Irvine, California</t>
  </si>
  <si>
    <t>EA</t>
  </si>
  <si>
    <t>Electronic Arts</t>
  </si>
  <si>
    <t>Redwood City, California</t>
  </si>
  <si>
    <t>EMR</t>
  </si>
  <si>
    <t>Emerson Electric Company</t>
  </si>
  <si>
    <t>Ferguson, Missouri</t>
  </si>
  <si>
    <t>ETR</t>
  </si>
  <si>
    <t>Entergy Corp.</t>
  </si>
  <si>
    <t>New Orleans, Louisiana</t>
  </si>
  <si>
    <t>EVHC</t>
  </si>
  <si>
    <t>Envision Healthcare</t>
  </si>
  <si>
    <t>Health Care Services</t>
  </si>
  <si>
    <t>Nashville, Tennessee</t>
  </si>
  <si>
    <t>EOG</t>
  </si>
  <si>
    <t>EOG Resources</t>
  </si>
  <si>
    <t>EQT</t>
  </si>
  <si>
    <t>EQT Corporation</t>
  </si>
  <si>
    <t>Pittsburgh, Pennsylvania</t>
  </si>
  <si>
    <t>EFX</t>
  </si>
  <si>
    <t>Equifax Inc.</t>
  </si>
  <si>
    <t>Research &amp; Consulting Services</t>
  </si>
  <si>
    <t>EQIX</t>
  </si>
  <si>
    <t>Equinix</t>
  </si>
  <si>
    <t>EQR</t>
  </si>
  <si>
    <t>Equity Residential</t>
  </si>
  <si>
    <t>ESS</t>
  </si>
  <si>
    <t>Essex Property Trust, Inc.</t>
  </si>
  <si>
    <t>Palo Alto, California</t>
  </si>
  <si>
    <t>EL</t>
  </si>
  <si>
    <t>Estee Lauder Cos.</t>
  </si>
  <si>
    <t>ES</t>
  </si>
  <si>
    <t>Eversource Energy</t>
  </si>
  <si>
    <t>Springfield, Massachusetts</t>
  </si>
  <si>
    <t>RE</t>
  </si>
  <si>
    <t>Everest Re Group Ltd.</t>
  </si>
  <si>
    <t>Reinsurance</t>
  </si>
  <si>
    <t>Hamilton, Bermuda</t>
  </si>
  <si>
    <t>EXC</t>
  </si>
  <si>
    <t>Exelon Corp.</t>
  </si>
  <si>
    <t>EXPE</t>
  </si>
  <si>
    <t>Expedia Inc.</t>
  </si>
  <si>
    <t>Bellevue, Washington</t>
  </si>
  <si>
    <t>EXPD</t>
  </si>
  <si>
    <t>Expeditors International</t>
  </si>
  <si>
    <t>ESRX</t>
  </si>
  <si>
    <t>Express Scripts</t>
  </si>
  <si>
    <t>Cool Valley, Missouri</t>
  </si>
  <si>
    <t>EXR</t>
  </si>
  <si>
    <t>Extra Space Storage</t>
  </si>
  <si>
    <t>Salt Lake City, Utah</t>
  </si>
  <si>
    <t>XOM</t>
  </si>
  <si>
    <t>Exxon Mobil Corp.</t>
  </si>
  <si>
    <t>Irving, Texas</t>
  </si>
  <si>
    <t>FFIV</t>
  </si>
  <si>
    <t>F5 Networks</t>
  </si>
  <si>
    <t>FB</t>
  </si>
  <si>
    <t>Facebook, Inc.</t>
  </si>
  <si>
    <t>Menlo Park, California</t>
  </si>
  <si>
    <t>FAST</t>
  </si>
  <si>
    <t>Fastenal Co</t>
  </si>
  <si>
    <t>Winona, Minnesota</t>
  </si>
  <si>
    <t>FRT</t>
  </si>
  <si>
    <t>Federal Realty Investment Trust</t>
  </si>
  <si>
    <t>Retail REITs</t>
  </si>
  <si>
    <t>Rockville, Maryland</t>
  </si>
  <si>
    <t>FDX</t>
  </si>
  <si>
    <t>FedEx Corporation</t>
  </si>
  <si>
    <t>FIS</t>
  </si>
  <si>
    <t>Fidelity National Information Services</t>
  </si>
  <si>
    <t>FITB</t>
  </si>
  <si>
    <t>Fifth Third Bancorp</t>
  </si>
  <si>
    <t>Cincinnati, Ohio</t>
  </si>
  <si>
    <t>FE</t>
  </si>
  <si>
    <t>FirstEnergy Corp</t>
  </si>
  <si>
    <t>Akron, Ohio</t>
  </si>
  <si>
    <t>FISV</t>
  </si>
  <si>
    <t>Fiserv Inc</t>
  </si>
  <si>
    <t>Brookfield, Wisconsin</t>
  </si>
  <si>
    <t>FLIR</t>
  </si>
  <si>
    <t>FLIR Systems</t>
  </si>
  <si>
    <t>Electronic Equipment &amp; Instruments</t>
  </si>
  <si>
    <t>Wilsonville, Oregon</t>
  </si>
  <si>
    <t>FLS</t>
  </si>
  <si>
    <t>Flowserve Corporation</t>
  </si>
  <si>
    <t>FLR</t>
  </si>
  <si>
    <t>Fluor Corp.</t>
  </si>
  <si>
    <t>FMC</t>
  </si>
  <si>
    <t>FMC Corporation</t>
  </si>
  <si>
    <t>FL</t>
  </si>
  <si>
    <t>Foot Locker Inc</t>
  </si>
  <si>
    <t>Apparel Retail</t>
  </si>
  <si>
    <t>F</t>
  </si>
  <si>
    <t>Ford Motor</t>
  </si>
  <si>
    <t>Automobile Manufacturers</t>
  </si>
  <si>
    <t>Dearborn, Michigan</t>
  </si>
  <si>
    <t>FTV</t>
  </si>
  <si>
    <t>Fortive Corp</t>
  </si>
  <si>
    <t>Everett, Washington</t>
  </si>
  <si>
    <t>FBHS</t>
  </si>
  <si>
    <t>Fortune Brands Home &amp; Security</t>
  </si>
  <si>
    <t>BEN</t>
  </si>
  <si>
    <t>Franklin Resources</t>
  </si>
  <si>
    <t>San Mateo, California</t>
  </si>
  <si>
    <t>FCX</t>
  </si>
  <si>
    <t>Freeport-McMoRan Inc.</t>
  </si>
  <si>
    <t>Copper</t>
  </si>
  <si>
    <t>Phoenix, Arizona</t>
  </si>
  <si>
    <t>GPS</t>
  </si>
  <si>
    <t>Gap Inc.</t>
  </si>
  <si>
    <t>GRMN</t>
  </si>
  <si>
    <t>Garmin Ltd.</t>
  </si>
  <si>
    <t>Consumer Electronics</t>
  </si>
  <si>
    <t>Schaffhausen, Switzerland</t>
  </si>
  <si>
    <t>IT</t>
  </si>
  <si>
    <t>Gartner Inc</t>
  </si>
  <si>
    <t>GD</t>
  </si>
  <si>
    <t>General Dynamics</t>
  </si>
  <si>
    <t>GE</t>
  </si>
  <si>
    <t>General Electric</t>
  </si>
  <si>
    <t>GGP</t>
  </si>
  <si>
    <t>General Growth Properties Inc.</t>
  </si>
  <si>
    <t>GIS</t>
  </si>
  <si>
    <t>General Mills</t>
  </si>
  <si>
    <t>Golden Valley, Minnesota</t>
  </si>
  <si>
    <t>GM</t>
  </si>
  <si>
    <t>General Motors</t>
  </si>
  <si>
    <t>GPC</t>
  </si>
  <si>
    <t>Genuine Parts</t>
  </si>
  <si>
    <t>GILD</t>
  </si>
  <si>
    <t>Gilead Sciences</t>
  </si>
  <si>
    <t>Foster City, California</t>
  </si>
  <si>
    <t>GPN</t>
  </si>
  <si>
    <t>Global Payments Inc.</t>
  </si>
  <si>
    <t>GS</t>
  </si>
  <si>
    <t>Goldman Sachs Group</t>
  </si>
  <si>
    <t>GT</t>
  </si>
  <si>
    <t>Goodyear Tire &amp; Rubber</t>
  </si>
  <si>
    <t>Tires &amp; Rubber</t>
  </si>
  <si>
    <t>GWW</t>
  </si>
  <si>
    <t>Grainger (W.W.) Inc.</t>
  </si>
  <si>
    <t>Lake Forest, Illinois</t>
  </si>
  <si>
    <t>HAL</t>
  </si>
  <si>
    <t>Halliburton Co.</t>
  </si>
  <si>
    <t>HBI</t>
  </si>
  <si>
    <t>Hanesbrands Inc</t>
  </si>
  <si>
    <t>Apparel, Accessories &amp; Luxury Goods</t>
  </si>
  <si>
    <t>HOG</t>
  </si>
  <si>
    <t>Harley-Davidson</t>
  </si>
  <si>
    <t>Motorcycle Manufacturers</t>
  </si>
  <si>
    <t>HRS</t>
  </si>
  <si>
    <t>Harris Corporation</t>
  </si>
  <si>
    <t>Melbourne, Florida</t>
  </si>
  <si>
    <t>HIG</t>
  </si>
  <si>
    <t>Hartford Financial Svc.Gp.</t>
  </si>
  <si>
    <t>HAS</t>
  </si>
  <si>
    <t>Hasbro Inc.</t>
  </si>
  <si>
    <t>Pawtucket, Rhode Island</t>
  </si>
  <si>
    <t>HCA</t>
  </si>
  <si>
    <t>HCA Holdings</t>
  </si>
  <si>
    <t>HCP</t>
  </si>
  <si>
    <t>HCP Inc.</t>
  </si>
  <si>
    <t>Health Care REITs</t>
  </si>
  <si>
    <t>Long Beach, California</t>
  </si>
  <si>
    <t>HP</t>
  </si>
  <si>
    <t>Helmerich &amp; Payne</t>
  </si>
  <si>
    <t>Oil &amp; Gas Drilling</t>
  </si>
  <si>
    <t>Tulsa, Oklahoma</t>
  </si>
  <si>
    <t>HSIC</t>
  </si>
  <si>
    <t>Henry Schein</t>
  </si>
  <si>
    <t>Melville, New York</t>
  </si>
  <si>
    <t>HSY</t>
  </si>
  <si>
    <t>The Hershey Company</t>
  </si>
  <si>
    <t>Hershey, Pennsylvania</t>
  </si>
  <si>
    <t>HES</t>
  </si>
  <si>
    <t>Hess Corporation</t>
  </si>
  <si>
    <t>HPE</t>
  </si>
  <si>
    <t>Hewlett Packard Enterprise</t>
  </si>
  <si>
    <t>HLT</t>
  </si>
  <si>
    <t>Hilton Worldwide Holdings Inc</t>
  </si>
  <si>
    <t>HOLX</t>
  </si>
  <si>
    <t>Hologic</t>
  </si>
  <si>
    <t>HD</t>
  </si>
  <si>
    <t>Home Depot</t>
  </si>
  <si>
    <t>Home Improvement Retail</t>
  </si>
  <si>
    <t>HON</t>
  </si>
  <si>
    <t>Honeywell Int'l Inc.</t>
  </si>
  <si>
    <t>Morristown, New Jersey</t>
  </si>
  <si>
    <t>HRL</t>
  </si>
  <si>
    <t>Hormel Foods Corp.</t>
  </si>
  <si>
    <t>Austin, Minnesota</t>
  </si>
  <si>
    <t>HST</t>
  </si>
  <si>
    <t>Host Hotels &amp; Resorts</t>
  </si>
  <si>
    <t>Hotel &amp; Resort REITs</t>
  </si>
  <si>
    <t>Bethesda, Maryland</t>
  </si>
  <si>
    <t>HPQ</t>
  </si>
  <si>
    <t>HP Inc.</t>
  </si>
  <si>
    <t>HUM</t>
  </si>
  <si>
    <t>Humana Inc.</t>
  </si>
  <si>
    <t>HBAN</t>
  </si>
  <si>
    <t>Huntington Bancshares</t>
  </si>
  <si>
    <t>HII</t>
  </si>
  <si>
    <t>Huntington Ingalls Industries</t>
  </si>
  <si>
    <t>Newport News, Virginia</t>
  </si>
  <si>
    <t>IDXX</t>
  </si>
  <si>
    <t>IDEXX Laboratories</t>
  </si>
  <si>
    <t>Westbrook, Maine</t>
  </si>
  <si>
    <t>INFO</t>
  </si>
  <si>
    <t>IHS Markit Ltd.</t>
  </si>
  <si>
    <t>ITW</t>
  </si>
  <si>
    <t>Illinois Tool Works</t>
  </si>
  <si>
    <t>Glenview, Illinois</t>
  </si>
  <si>
    <t>ILMN</t>
  </si>
  <si>
    <t>Illumina Inc</t>
  </si>
  <si>
    <t>San Diego, California</t>
  </si>
  <si>
    <t>IR</t>
  </si>
  <si>
    <t>Ingersoll-Rand PLC</t>
  </si>
  <si>
    <t>INTC</t>
  </si>
  <si>
    <t>Intel Corp.</t>
  </si>
  <si>
    <t>ICE</t>
  </si>
  <si>
    <t>Intercontinental Exchange</t>
  </si>
  <si>
    <t>IBM</t>
  </si>
  <si>
    <t>International Business Machines</t>
  </si>
  <si>
    <t>Armonk, New York</t>
  </si>
  <si>
    <t>INCY</t>
  </si>
  <si>
    <t>Incyte</t>
  </si>
  <si>
    <t>Wilmington, Delaware</t>
  </si>
  <si>
    <t>IP</t>
  </si>
  <si>
    <t>International Paper</t>
  </si>
  <si>
    <t>IPG</t>
  </si>
  <si>
    <t>Interpublic Group</t>
  </si>
  <si>
    <t>Advertising</t>
  </si>
  <si>
    <t>IFF</t>
  </si>
  <si>
    <t>Intl Flavors &amp; Fragrances</t>
  </si>
  <si>
    <t>INTU</t>
  </si>
  <si>
    <t>Intuit Inc.</t>
  </si>
  <si>
    <t>ISRG</t>
  </si>
  <si>
    <t>Intuitive Surgical Inc.</t>
  </si>
  <si>
    <t>IVZ</t>
  </si>
  <si>
    <t>Invesco Ltd.</t>
  </si>
  <si>
    <t>IQV</t>
  </si>
  <si>
    <t>IQVIA Holdings Inc.</t>
  </si>
  <si>
    <t>Life Sciences Tools &amp; Service</t>
  </si>
  <si>
    <t>Durham, North Carolina</t>
  </si>
  <si>
    <t>IRM</t>
  </si>
  <si>
    <t>Iron Mountain Incorporated</t>
  </si>
  <si>
    <t>JEC</t>
  </si>
  <si>
    <t>Jacobs Engineering Group</t>
  </si>
  <si>
    <t>JBHT</t>
  </si>
  <si>
    <t>J. B. Hunt Transport Services</t>
  </si>
  <si>
    <t>Trucking</t>
  </si>
  <si>
    <t>Lowell, Arkansas</t>
  </si>
  <si>
    <t>SJM</t>
  </si>
  <si>
    <t>JM Smucker</t>
  </si>
  <si>
    <t>Orrville, Ohio</t>
  </si>
  <si>
    <t>JNJ</t>
  </si>
  <si>
    <t>Johnson &amp; Johnson</t>
  </si>
  <si>
    <t>New Brunswick, New Jersey</t>
  </si>
  <si>
    <t>JCI</t>
  </si>
  <si>
    <t>Johnson Controls International</t>
  </si>
  <si>
    <t>Cork, Ireland</t>
  </si>
  <si>
    <t>JPM</t>
  </si>
  <si>
    <t>JPMorgan Chase &amp; Co.</t>
  </si>
  <si>
    <t>JNPR</t>
  </si>
  <si>
    <t>Juniper Networks</t>
  </si>
  <si>
    <t>KSU</t>
  </si>
  <si>
    <t>Kansas City Southern</t>
  </si>
  <si>
    <t>K</t>
  </si>
  <si>
    <t>Kellogg Co.</t>
  </si>
  <si>
    <t>Battle Creek, Michigan</t>
  </si>
  <si>
    <t>KEY</t>
  </si>
  <si>
    <t>KeyCorp</t>
  </si>
  <si>
    <t>Cleveland, Ohio</t>
  </si>
  <si>
    <t>KMB</t>
  </si>
  <si>
    <t>Kimberly-Clark</t>
  </si>
  <si>
    <t>KIM</t>
  </si>
  <si>
    <t>Kimco Realty</t>
  </si>
  <si>
    <t>New Hyde Park, New York</t>
  </si>
  <si>
    <t>KMI</t>
  </si>
  <si>
    <t>Kinder Morgan</t>
  </si>
  <si>
    <t>Oil &amp; Gas Storage &amp; Transportation</t>
  </si>
  <si>
    <t>KLAC</t>
  </si>
  <si>
    <t>KLA-Tencor Corp.</t>
  </si>
  <si>
    <t>Milpitas, California</t>
  </si>
  <si>
    <t>KSS</t>
  </si>
  <si>
    <t>Kohl's Corp.</t>
  </si>
  <si>
    <t>Menomonee Falls, Wisconsin</t>
  </si>
  <si>
    <t>KHC</t>
  </si>
  <si>
    <t>Kraft Heinz Co</t>
  </si>
  <si>
    <t>KR</t>
  </si>
  <si>
    <t>Kroger Co.</t>
  </si>
  <si>
    <t>Food Retail</t>
  </si>
  <si>
    <t>LB</t>
  </si>
  <si>
    <t>L Brands Inc.</t>
  </si>
  <si>
    <t>LLL</t>
  </si>
  <si>
    <t>L-3 Communications Holdings</t>
  </si>
  <si>
    <t>LH</t>
  </si>
  <si>
    <t>Laboratory Corp. of America Holding</t>
  </si>
  <si>
    <t>Burlington, North Carolina</t>
  </si>
  <si>
    <t>LRCX</t>
  </si>
  <si>
    <t>Lam Research</t>
  </si>
  <si>
    <t>Fremont, California</t>
  </si>
  <si>
    <t>LEG</t>
  </si>
  <si>
    <t>Leggett &amp; Platt</t>
  </si>
  <si>
    <t>Home Furnishings</t>
  </si>
  <si>
    <t>Carthage, Missouri</t>
  </si>
  <si>
    <t>LEN</t>
  </si>
  <si>
    <t>Lennar Corp.</t>
  </si>
  <si>
    <t>LUK</t>
  </si>
  <si>
    <t>Leucadia National Corp.</t>
  </si>
  <si>
    <t>LLY</t>
  </si>
  <si>
    <t>Lilly (Eli) &amp; Co.</t>
  </si>
  <si>
    <t>LNC</t>
  </si>
  <si>
    <t>Lincoln National</t>
  </si>
  <si>
    <t>Radnor, Pennsylvania</t>
  </si>
  <si>
    <t>LKQ</t>
  </si>
  <si>
    <t>LKQ Corporation</t>
  </si>
  <si>
    <t>LMT</t>
  </si>
  <si>
    <t>Lockheed Martin Corp.</t>
  </si>
  <si>
    <t>L</t>
  </si>
  <si>
    <t>Loews Corp.</t>
  </si>
  <si>
    <t>LOW</t>
  </si>
  <si>
    <t>Lowe's Cos.</t>
  </si>
  <si>
    <t>Mooresville, North Carolina</t>
  </si>
  <si>
    <t>LYB</t>
  </si>
  <si>
    <t>LyondellBasell</t>
  </si>
  <si>
    <t>Rotterdam, Netherlands</t>
  </si>
  <si>
    <t>MTB</t>
  </si>
  <si>
    <t>M&amp;T Bank Corp.</t>
  </si>
  <si>
    <t>Buffalo, New York</t>
  </si>
  <si>
    <t>MAC</t>
  </si>
  <si>
    <t>Macerich</t>
  </si>
  <si>
    <t>M</t>
  </si>
  <si>
    <t>Macy's Inc.</t>
  </si>
  <si>
    <t>Department Stores</t>
  </si>
  <si>
    <t>MRO</t>
  </si>
  <si>
    <t>Marathon Oil Corp.</t>
  </si>
  <si>
    <t>MPC</t>
  </si>
  <si>
    <t>Marathon Petroleum</t>
  </si>
  <si>
    <t>Findlay, Ohio</t>
  </si>
  <si>
    <t>MAR</t>
  </si>
  <si>
    <t>Marriott Int'l.</t>
  </si>
  <si>
    <t>MMC</t>
  </si>
  <si>
    <t>Marsh &amp; McLennan</t>
  </si>
  <si>
    <t>MLM</t>
  </si>
  <si>
    <t>Martin Marietta Materials</t>
  </si>
  <si>
    <t>Raleigh, North Carolina</t>
  </si>
  <si>
    <t>MAS</t>
  </si>
  <si>
    <t>Masco Corp.</t>
  </si>
  <si>
    <t>Taylor, Michigan</t>
  </si>
  <si>
    <t>MA</t>
  </si>
  <si>
    <t>Mastercard Inc.</t>
  </si>
  <si>
    <t>Harrison, New York</t>
  </si>
  <si>
    <t>MAT</t>
  </si>
  <si>
    <t>Mattel Inc.</t>
  </si>
  <si>
    <t>El Segundo, California</t>
  </si>
  <si>
    <t>MKC</t>
  </si>
  <si>
    <t>McCormick &amp; Co.</t>
  </si>
  <si>
    <t>Sparks, Maryland</t>
  </si>
  <si>
    <t>MCD</t>
  </si>
  <si>
    <t>McDonald's Corp.</t>
  </si>
  <si>
    <t>Oak Brook, Illinois</t>
  </si>
  <si>
    <t>MCK</t>
  </si>
  <si>
    <t>McKesson Corp.</t>
  </si>
  <si>
    <t>MDT</t>
  </si>
  <si>
    <t>Medtronic plc</t>
  </si>
  <si>
    <t>MRK</t>
  </si>
  <si>
    <t>Merck &amp; Co.</t>
  </si>
  <si>
    <t>Whitehouse Station, New Jersey</t>
  </si>
  <si>
    <t>MET</t>
  </si>
  <si>
    <t>MetLife Inc.</t>
  </si>
  <si>
    <t>MTD</t>
  </si>
  <si>
    <t>Mettler Toledo</t>
  </si>
  <si>
    <t>MGM</t>
  </si>
  <si>
    <t>MGM Resorts International</t>
  </si>
  <si>
    <t>Casinos &amp; Gaming</t>
  </si>
  <si>
    <t>Paradise, Nevada</t>
  </si>
  <si>
    <t>KORS</t>
  </si>
  <si>
    <t>Michael Kors Holdings</t>
  </si>
  <si>
    <t>MCHP</t>
  </si>
  <si>
    <t>Microchip Technology</t>
  </si>
  <si>
    <t>Chandler, Arizona</t>
  </si>
  <si>
    <t>MU</t>
  </si>
  <si>
    <t>Micron Technology</t>
  </si>
  <si>
    <t>Boise, Idaho</t>
  </si>
  <si>
    <t>MSFT</t>
  </si>
  <si>
    <t>Microsoft Corp.</t>
  </si>
  <si>
    <t>Redmond, Washington</t>
  </si>
  <si>
    <t>MAA</t>
  </si>
  <si>
    <t>Mid-America Apartments</t>
  </si>
  <si>
    <t>MHK</t>
  </si>
  <si>
    <t>Mohawk Industries</t>
  </si>
  <si>
    <t>Amsterdam, New York</t>
  </si>
  <si>
    <t>TAP</t>
  </si>
  <si>
    <t>Molson Coors Brewing Company</t>
  </si>
  <si>
    <t>Brewers</t>
  </si>
  <si>
    <t>MDLZ</t>
  </si>
  <si>
    <t>Mondelez International</t>
  </si>
  <si>
    <t>Northfield, Illinois</t>
  </si>
  <si>
    <t>MON</t>
  </si>
  <si>
    <t>Monsanto Co.</t>
  </si>
  <si>
    <t>Creve Coeur, Missouri</t>
  </si>
  <si>
    <t>MNST</t>
  </si>
  <si>
    <t>Monster Beverage</t>
  </si>
  <si>
    <t>Corona, California</t>
  </si>
  <si>
    <t>MCO</t>
  </si>
  <si>
    <t>Moody's Corp</t>
  </si>
  <si>
    <t>MS</t>
  </si>
  <si>
    <t>Morgan Stanley</t>
  </si>
  <si>
    <t>MOS</t>
  </si>
  <si>
    <t>The Mosaic Company</t>
  </si>
  <si>
    <t>Plymouth, Minnesota</t>
  </si>
  <si>
    <t>MSI</t>
  </si>
  <si>
    <t>Motorola Solutions Inc.</t>
  </si>
  <si>
    <t>Schaumburg, Illinois</t>
  </si>
  <si>
    <t>MYL</t>
  </si>
  <si>
    <t>Mylan N.V.</t>
  </si>
  <si>
    <t>Amsterdam, Netherlands</t>
  </si>
  <si>
    <t>NDAQ</t>
  </si>
  <si>
    <t>Nasdaq, Inc.</t>
  </si>
  <si>
    <t>NOV</t>
  </si>
  <si>
    <t>National Oilwell Varco Inc.</t>
  </si>
  <si>
    <t>NAVI</t>
  </si>
  <si>
    <t>Navient</t>
  </si>
  <si>
    <t>NTAP</t>
  </si>
  <si>
    <t>NetApp</t>
  </si>
  <si>
    <t>NFLX</t>
  </si>
  <si>
    <t>Netflix Inc.</t>
  </si>
  <si>
    <t>Los Gatos, California</t>
  </si>
  <si>
    <t>NWL</t>
  </si>
  <si>
    <t>Newell Brands</t>
  </si>
  <si>
    <t>Housewares &amp; Specialties</t>
  </si>
  <si>
    <t>Sandy Springs, Georgia</t>
  </si>
  <si>
    <t>NFX</t>
  </si>
  <si>
    <t>Newfield Exploration Co</t>
  </si>
  <si>
    <t>NEM</t>
  </si>
  <si>
    <t>Newmont Mining Corporation</t>
  </si>
  <si>
    <t>Gold</t>
  </si>
  <si>
    <t>NWSA</t>
  </si>
  <si>
    <t>News Corp. Class A</t>
  </si>
  <si>
    <t>Publishing</t>
  </si>
  <si>
    <t>NWS</t>
  </si>
  <si>
    <t>News Corp. Class B</t>
  </si>
  <si>
    <t>NEE</t>
  </si>
  <si>
    <t>NextEra Energy</t>
  </si>
  <si>
    <t>Juno Beach, Florida</t>
  </si>
  <si>
    <t>NLSN</t>
  </si>
  <si>
    <t>Nielsen Holdings</t>
  </si>
  <si>
    <t>NKE</t>
  </si>
  <si>
    <t>Nike</t>
  </si>
  <si>
    <t>Washington County, Oregon</t>
  </si>
  <si>
    <t>NI</t>
  </si>
  <si>
    <t>NiSource Inc.</t>
  </si>
  <si>
    <t>Merrillville, Indiana</t>
  </si>
  <si>
    <t>NBL</t>
  </si>
  <si>
    <t>Noble Energy Inc</t>
  </si>
  <si>
    <t>JWN</t>
  </si>
  <si>
    <t>Nordstrom</t>
  </si>
  <si>
    <t>NSC</t>
  </si>
  <si>
    <t>Norfolk Southern Corp.</t>
  </si>
  <si>
    <t>Norfolk, Virginia</t>
  </si>
  <si>
    <t>NTRS</t>
  </si>
  <si>
    <t>Northern Trust Corp.</t>
  </si>
  <si>
    <t>NOC</t>
  </si>
  <si>
    <t>Northrop Grumman Corp.</t>
  </si>
  <si>
    <t>West Falls Church, Virginia</t>
  </si>
  <si>
    <t>NCLH</t>
  </si>
  <si>
    <t>Norwegian Cruise Line</t>
  </si>
  <si>
    <t>NRG</t>
  </si>
  <si>
    <t>NRG Energy</t>
  </si>
  <si>
    <t>Princeton, New Jersey</t>
  </si>
  <si>
    <t>NUE</t>
  </si>
  <si>
    <t>Nucor Corp.</t>
  </si>
  <si>
    <t>Steel</t>
  </si>
  <si>
    <t>NVDA</t>
  </si>
  <si>
    <t>Nvidia Corporation</t>
  </si>
  <si>
    <t>ORLY</t>
  </si>
  <si>
    <t>O'Reilly Automotive</t>
  </si>
  <si>
    <t>Springfield, Missouri</t>
  </si>
  <si>
    <t>OXY</t>
  </si>
  <si>
    <t>Occidental Petroleum</t>
  </si>
  <si>
    <t>OMC</t>
  </si>
  <si>
    <t>Omnicom Group</t>
  </si>
  <si>
    <t>OKE</t>
  </si>
  <si>
    <t>ONEOK</t>
  </si>
  <si>
    <t>ORCL</t>
  </si>
  <si>
    <t>Oracle Corp.</t>
  </si>
  <si>
    <t>Redwood Shores, California</t>
  </si>
  <si>
    <t>PCAR</t>
  </si>
  <si>
    <t>PACCAR Inc.</t>
  </si>
  <si>
    <t>PKG</t>
  </si>
  <si>
    <t>Packaging Corporation of America</t>
  </si>
  <si>
    <t>PH</t>
  </si>
  <si>
    <t>Parker-Hannifin</t>
  </si>
  <si>
    <t>PDCO</t>
  </si>
  <si>
    <t>Patterson Companies</t>
  </si>
  <si>
    <t>PAYX</t>
  </si>
  <si>
    <t>Paychex Inc.</t>
  </si>
  <si>
    <t>Penfield, New York</t>
  </si>
  <si>
    <t>PYPL</t>
  </si>
  <si>
    <t>PayPal</t>
  </si>
  <si>
    <t>PNR</t>
  </si>
  <si>
    <t>Pentair Ltd.</t>
  </si>
  <si>
    <t>Worsley, UK</t>
  </si>
  <si>
    <t>PBCT</t>
  </si>
  <si>
    <t>People's United Financial</t>
  </si>
  <si>
    <t>Thrifts &amp; Mortgage Finance</t>
  </si>
  <si>
    <t>Bridgeport, Connecticut</t>
  </si>
  <si>
    <t>PEP</t>
  </si>
  <si>
    <t>PepsiCo Inc.</t>
  </si>
  <si>
    <t>Purchase, New York</t>
  </si>
  <si>
    <t>PKI</t>
  </si>
  <si>
    <t>PerkinElmer</t>
  </si>
  <si>
    <t>Waltham, Massachusetts</t>
  </si>
  <si>
    <t>PRGO</t>
  </si>
  <si>
    <t>Perrigo</t>
  </si>
  <si>
    <t>PFE</t>
  </si>
  <si>
    <t>Pfizer Inc.</t>
  </si>
  <si>
    <t>PCG</t>
  </si>
  <si>
    <t>PG&amp;E Corp.</t>
  </si>
  <si>
    <t>PM</t>
  </si>
  <si>
    <t>Philip Morris International</t>
  </si>
  <si>
    <t>PSX</t>
  </si>
  <si>
    <t>Phillips 66</t>
  </si>
  <si>
    <t>PNW</t>
  </si>
  <si>
    <t>Pinnacle West Capital</t>
  </si>
  <si>
    <t>PXD</t>
  </si>
  <si>
    <t>Pioneer Natural Resources</t>
  </si>
  <si>
    <t>PNC</t>
  </si>
  <si>
    <t>PNC Financial Services</t>
  </si>
  <si>
    <t>RL</t>
  </si>
  <si>
    <t>Polo Ralph Lauren Corp.</t>
  </si>
  <si>
    <t>PPG</t>
  </si>
  <si>
    <t>PPG Industries</t>
  </si>
  <si>
    <t>PPL</t>
  </si>
  <si>
    <t>PPL Corp.</t>
  </si>
  <si>
    <t>PX</t>
  </si>
  <si>
    <t>Praxair Inc.</t>
  </si>
  <si>
    <t>Danbury, Connecticut</t>
  </si>
  <si>
    <t>PFG</t>
  </si>
  <si>
    <t>Principal Financial Group</t>
  </si>
  <si>
    <t>Des Moines, Iowa</t>
  </si>
  <si>
    <t>PG</t>
  </si>
  <si>
    <t>Procter &amp; Gamble</t>
  </si>
  <si>
    <t>PGR</t>
  </si>
  <si>
    <t>Progressive Corp.</t>
  </si>
  <si>
    <t>Mayfield Village, Ohio</t>
  </si>
  <si>
    <t>PLD</t>
  </si>
  <si>
    <t>Prologis</t>
  </si>
  <si>
    <t>PRU</t>
  </si>
  <si>
    <t>Prudential Financial</t>
  </si>
  <si>
    <t>Newark, New Jersey</t>
  </si>
  <si>
    <t>PEG</t>
  </si>
  <si>
    <t>Public Serv. Enterprise Inc.</t>
  </si>
  <si>
    <t>PSA</t>
  </si>
  <si>
    <t>Public Storage</t>
  </si>
  <si>
    <t>PHM</t>
  </si>
  <si>
    <t>Pulte Homes Inc.</t>
  </si>
  <si>
    <t>PVH</t>
  </si>
  <si>
    <t>PVH Corp.</t>
  </si>
  <si>
    <t>QRVO</t>
  </si>
  <si>
    <t>Qorvo</t>
  </si>
  <si>
    <t>Greensboro, North Carolina</t>
  </si>
  <si>
    <t>PWR</t>
  </si>
  <si>
    <t>Quanta Services Inc.</t>
  </si>
  <si>
    <t>QCOM</t>
  </si>
  <si>
    <t>QUALCOMM Inc.</t>
  </si>
  <si>
    <t>DGX</t>
  </si>
  <si>
    <t>Quest Diagnostics</t>
  </si>
  <si>
    <t>Madison, New Jersey</t>
  </si>
  <si>
    <t>RRC</t>
  </si>
  <si>
    <t>Range Resources Corp.</t>
  </si>
  <si>
    <t>RJF</t>
  </si>
  <si>
    <t>Raymond James Financial Inc.</t>
  </si>
  <si>
    <t>St. Petersburg, Florida</t>
  </si>
  <si>
    <t>RTN</t>
  </si>
  <si>
    <t>Raytheon Co.</t>
  </si>
  <si>
    <t>O</t>
  </si>
  <si>
    <t>Realty Income Corporation</t>
  </si>
  <si>
    <t>RHT</t>
  </si>
  <si>
    <t>Red Hat Inc.</t>
  </si>
  <si>
    <t>REG</t>
  </si>
  <si>
    <t>Regency Centers Corporation</t>
  </si>
  <si>
    <t>REGN</t>
  </si>
  <si>
    <t>Regeneron</t>
  </si>
  <si>
    <t>Tarrytown, New York</t>
  </si>
  <si>
    <t>RF</t>
  </si>
  <si>
    <t>Regions Financial Corp.</t>
  </si>
  <si>
    <t>Birmingham, Alabama</t>
  </si>
  <si>
    <t>RSG</t>
  </si>
  <si>
    <t>Republic Services Inc</t>
  </si>
  <si>
    <t>Environmental &amp; Facilities Services</t>
  </si>
  <si>
    <t>RMD</t>
  </si>
  <si>
    <t>ResMed</t>
  </si>
  <si>
    <t>RHI</t>
  </si>
  <si>
    <t>Robert Half International</t>
  </si>
  <si>
    <t>Human Resource &amp; Employment Services</t>
  </si>
  <si>
    <t>ROK</t>
  </si>
  <si>
    <t>Rockwell Automation Inc.</t>
  </si>
  <si>
    <t>COL</t>
  </si>
  <si>
    <t>Rockwell Collins</t>
  </si>
  <si>
    <t>Cedar Rapids, Iowa</t>
  </si>
  <si>
    <t>ROP</t>
  </si>
  <si>
    <t>Roper Technologies</t>
  </si>
  <si>
    <t>Sarasota, Florida</t>
  </si>
  <si>
    <t>ROST</t>
  </si>
  <si>
    <t>Ross Stores</t>
  </si>
  <si>
    <t>RCL</t>
  </si>
  <si>
    <t>Royal Caribbean Cruises Ltd</t>
  </si>
  <si>
    <t>CRM</t>
  </si>
  <si>
    <t>Salesforce.com</t>
  </si>
  <si>
    <t>SBAC</t>
  </si>
  <si>
    <t>SBA Communications</t>
  </si>
  <si>
    <t>Boca Raton, Florida</t>
  </si>
  <si>
    <t>SCG</t>
  </si>
  <si>
    <t>SCANA Corp</t>
  </si>
  <si>
    <t>Cayce, South Carolina</t>
  </si>
  <si>
    <t>SLB</t>
  </si>
  <si>
    <t>Schlumberger Ltd.</t>
  </si>
  <si>
    <t>Curaçao, Kingdom of the Netherlands</t>
  </si>
  <si>
    <t>SNI</t>
  </si>
  <si>
    <t>Scripps Networks Interactive Inc.</t>
  </si>
  <si>
    <t>STX</t>
  </si>
  <si>
    <t>Seagate Technology</t>
  </si>
  <si>
    <t>SEE</t>
  </si>
  <si>
    <t>Sealed Air</t>
  </si>
  <si>
    <t>Elmwood Park, New Jersey</t>
  </si>
  <si>
    <t>SRE</t>
  </si>
  <si>
    <t>Sempra Energy</t>
  </si>
  <si>
    <t>SHW</t>
  </si>
  <si>
    <t>Sherwin-Williams</t>
  </si>
  <si>
    <t>SIG</t>
  </si>
  <si>
    <t>Signet Jewelers</t>
  </si>
  <si>
    <t>SPG</t>
  </si>
  <si>
    <t>Simon Property Group Inc</t>
  </si>
  <si>
    <t>SWKS</t>
  </si>
  <si>
    <t>Skyworks Solutions</t>
  </si>
  <si>
    <t>Woburn, Massachusetts</t>
  </si>
  <si>
    <t>SLG</t>
  </si>
  <si>
    <t>SL Green Realty</t>
  </si>
  <si>
    <t>SNA</t>
  </si>
  <si>
    <t>Snap-On Inc.</t>
  </si>
  <si>
    <t>Household Appliances</t>
  </si>
  <si>
    <t>Kenosha, Wisconsin</t>
  </si>
  <si>
    <t>SO</t>
  </si>
  <si>
    <t>Southern Co.</t>
  </si>
  <si>
    <t>LUV</t>
  </si>
  <si>
    <t>Southwest Airlines</t>
  </si>
  <si>
    <t>SPGI</t>
  </si>
  <si>
    <t>S&amp;P Global, Inc.</t>
  </si>
  <si>
    <t>SWK</t>
  </si>
  <si>
    <t>Stanley Black &amp; Decker</t>
  </si>
  <si>
    <t>New Britain, Connecticut</t>
  </si>
  <si>
    <t>SBUX</t>
  </si>
  <si>
    <t>Starbucks Corp.</t>
  </si>
  <si>
    <t>STT</t>
  </si>
  <si>
    <t>State Street Corp.</t>
  </si>
  <si>
    <t>SRCL</t>
  </si>
  <si>
    <t>Stericycle Inc</t>
  </si>
  <si>
    <t>SYK</t>
  </si>
  <si>
    <t>Stryker Corp.</t>
  </si>
  <si>
    <t>Kalamazoo, Michigan</t>
  </si>
  <si>
    <t>STI</t>
  </si>
  <si>
    <t>SunTrust Banks</t>
  </si>
  <si>
    <t>SYMC</t>
  </si>
  <si>
    <t>Symantec Corp.</t>
  </si>
  <si>
    <t>SYF</t>
  </si>
  <si>
    <t>Synchrony Financial</t>
  </si>
  <si>
    <t>SNPS</t>
  </si>
  <si>
    <t>Synopsys Inc.</t>
  </si>
  <si>
    <t>SYY</t>
  </si>
  <si>
    <t>Sysco Corp.</t>
  </si>
  <si>
    <t>Food Distributors</t>
  </si>
  <si>
    <t>TROW</t>
  </si>
  <si>
    <t>T. Rowe Price Group</t>
  </si>
  <si>
    <t>Baltimore, Maryland</t>
  </si>
  <si>
    <t>TPR</t>
  </si>
  <si>
    <t>Tapestry, Inc.</t>
  </si>
  <si>
    <t>TGT</t>
  </si>
  <si>
    <t>Target Corp.</t>
  </si>
  <si>
    <t>TEL</t>
  </si>
  <si>
    <t>TE Connectivity Ltd.</t>
  </si>
  <si>
    <t>Electronic Manufacturing Services</t>
  </si>
  <si>
    <t>FTI</t>
  </si>
  <si>
    <t>TechnipFMC</t>
  </si>
  <si>
    <t>TXN</t>
  </si>
  <si>
    <t>Texas Instruments</t>
  </si>
  <si>
    <t>TXT</t>
  </si>
  <si>
    <t>Textron Inc.</t>
  </si>
  <si>
    <t>TMO</t>
  </si>
  <si>
    <t>Thermo Fisher Scientific</t>
  </si>
  <si>
    <t>TIF</t>
  </si>
  <si>
    <t>Tiffany &amp; Co.</t>
  </si>
  <si>
    <t>TWX</t>
  </si>
  <si>
    <t>Time Warner Inc.</t>
  </si>
  <si>
    <t>TJX</t>
  </si>
  <si>
    <t>TJX Companies Inc.</t>
  </si>
  <si>
    <t>Framingham, Massachusetts</t>
  </si>
  <si>
    <t>TMK</t>
  </si>
  <si>
    <t>Torchmark Corp.</t>
  </si>
  <si>
    <t>McKinney, Texas</t>
  </si>
  <si>
    <t>TSS</t>
  </si>
  <si>
    <t>Total System Services</t>
  </si>
  <si>
    <t>TSCO</t>
  </si>
  <si>
    <t>Tractor Supply Company</t>
  </si>
  <si>
    <t>Brentwood, Tennessee</t>
  </si>
  <si>
    <t>TDG</t>
  </si>
  <si>
    <t>TransDigm Group</t>
  </si>
  <si>
    <t>TRV</t>
  </si>
  <si>
    <t>The Travelers Companies Inc.</t>
  </si>
  <si>
    <t>TRIP</t>
  </si>
  <si>
    <t>TripAdvisor</t>
  </si>
  <si>
    <t>Newton, Massachusetts</t>
  </si>
  <si>
    <t>FOXA</t>
  </si>
  <si>
    <t>Twenty-First Century Fox Class A</t>
  </si>
  <si>
    <t>FOX</t>
  </si>
  <si>
    <t>Twenty-First Century Fox Class B</t>
  </si>
  <si>
    <t>TSN</t>
  </si>
  <si>
    <t>Tyson Foods</t>
  </si>
  <si>
    <t>Springdale, Arkansas</t>
  </si>
  <si>
    <t>UDR</t>
  </si>
  <si>
    <t>UDR Inc</t>
  </si>
  <si>
    <t>Highlands Ranch, Colorado</t>
  </si>
  <si>
    <t>ULTA</t>
  </si>
  <si>
    <t>Ulta Beauty</t>
  </si>
  <si>
    <t>Bolingbrook, Illinois</t>
  </si>
  <si>
    <t>USB</t>
  </si>
  <si>
    <t>U.S. Bancorp</t>
  </si>
  <si>
    <t>UAA</t>
  </si>
  <si>
    <t>Under Armour Class A</t>
  </si>
  <si>
    <t>UA</t>
  </si>
  <si>
    <t>Under Armour Class C</t>
  </si>
  <si>
    <t>UNP</t>
  </si>
  <si>
    <t>Union Pacific</t>
  </si>
  <si>
    <t>UAL</t>
  </si>
  <si>
    <t>United Continental Holdings</t>
  </si>
  <si>
    <t>UNH</t>
  </si>
  <si>
    <t>United Health Group Inc.</t>
  </si>
  <si>
    <t>Minnetonka, Minnesota</t>
  </si>
  <si>
    <t>UPS</t>
  </si>
  <si>
    <t>United Parcel Service</t>
  </si>
  <si>
    <t>URI</t>
  </si>
  <si>
    <t>United Rentals, Inc.</t>
  </si>
  <si>
    <t>UTX</t>
  </si>
  <si>
    <t>United Technologies</t>
  </si>
  <si>
    <t>UHS</t>
  </si>
  <si>
    <t>Universal Health Services, Inc.</t>
  </si>
  <si>
    <t>King of Prussia, Pennsylvania</t>
  </si>
  <si>
    <t>UNM</t>
  </si>
  <si>
    <t>Unum Group</t>
  </si>
  <si>
    <t>Chattanooga, Tennessee</t>
  </si>
  <si>
    <t>VFC</t>
  </si>
  <si>
    <t>V.F. Corp.</t>
  </si>
  <si>
    <t>VLO</t>
  </si>
  <si>
    <t>Valero Energy</t>
  </si>
  <si>
    <t>VAR</t>
  </si>
  <si>
    <t>Varian Medical Systems</t>
  </si>
  <si>
    <t>VTR</t>
  </si>
  <si>
    <t>Ventas Inc</t>
  </si>
  <si>
    <t>VRSN</t>
  </si>
  <si>
    <t>Verisign Inc.</t>
  </si>
  <si>
    <t>Dulles, Virginia</t>
  </si>
  <si>
    <t>VRSK</t>
  </si>
  <si>
    <t>Verisk Analytics</t>
  </si>
  <si>
    <t>Jersey City, New Jersey</t>
  </si>
  <si>
    <t>VZ</t>
  </si>
  <si>
    <t>Verizon Communications</t>
  </si>
  <si>
    <t>VRTX</t>
  </si>
  <si>
    <t>Vertex Pharmaceuticals Inc</t>
  </si>
  <si>
    <t>VIAB</t>
  </si>
  <si>
    <t>Viacom Inc.</t>
  </si>
  <si>
    <t>V</t>
  </si>
  <si>
    <t>Visa Inc.</t>
  </si>
  <si>
    <t>VNO</t>
  </si>
  <si>
    <t>Vornado Realty Trust</t>
  </si>
  <si>
    <t>VMC</t>
  </si>
  <si>
    <t>Vulcan Materials</t>
  </si>
  <si>
    <t>WMT</t>
  </si>
  <si>
    <t>Wal-Mart Stores</t>
  </si>
  <si>
    <t>Bentonville, Arkansas</t>
  </si>
  <si>
    <t>WBA</t>
  </si>
  <si>
    <t>Walgreens Boots Alliance</t>
  </si>
  <si>
    <t>DIS</t>
  </si>
  <si>
    <t>The Walt Disney Company</t>
  </si>
  <si>
    <t>Burbank, California</t>
  </si>
  <si>
    <t>WM</t>
  </si>
  <si>
    <t>Waste Management Inc.</t>
  </si>
  <si>
    <t>WAT</t>
  </si>
  <si>
    <t>Waters Corporation</t>
  </si>
  <si>
    <t>Milford, Massachusetts</t>
  </si>
  <si>
    <t>WEC</t>
  </si>
  <si>
    <t>Wec Energy Group Inc</t>
  </si>
  <si>
    <t>WFC</t>
  </si>
  <si>
    <t>Wells Fargo</t>
  </si>
  <si>
    <t>WELL</t>
  </si>
  <si>
    <t>Welltower Inc.</t>
  </si>
  <si>
    <t>Toledo, Ohio</t>
  </si>
  <si>
    <t>WDC</t>
  </si>
  <si>
    <t>Western Digital</t>
  </si>
  <si>
    <t>WU</t>
  </si>
  <si>
    <t>Western Union Co</t>
  </si>
  <si>
    <t>Englewood, Colorado</t>
  </si>
  <si>
    <t>WRK</t>
  </si>
  <si>
    <t>WestRock Company</t>
  </si>
  <si>
    <t>WY</t>
  </si>
  <si>
    <t>Weyerhaeuser Corp.</t>
  </si>
  <si>
    <t>Federal Way, Washington</t>
  </si>
  <si>
    <t>WHR</t>
  </si>
  <si>
    <t>Whirlpool Corp.</t>
  </si>
  <si>
    <t>Benton Harbor, Michigan</t>
  </si>
  <si>
    <t>WMB</t>
  </si>
  <si>
    <t>Williams Cos.</t>
  </si>
  <si>
    <t>WLTW</t>
  </si>
  <si>
    <t>Willis Towers Watson</t>
  </si>
  <si>
    <t>WYN</t>
  </si>
  <si>
    <t>Wyndham Worldwide</t>
  </si>
  <si>
    <t>Parsippany, New Jersey</t>
  </si>
  <si>
    <t>WYNN</t>
  </si>
  <si>
    <t>Wynn Resorts Ltd</t>
  </si>
  <si>
    <t>XEL</t>
  </si>
  <si>
    <t>Xcel Energy Inc</t>
  </si>
  <si>
    <t>XRX</t>
  </si>
  <si>
    <t>Xerox Corp.</t>
  </si>
  <si>
    <t>XLNX</t>
  </si>
  <si>
    <t>Xilinx Inc</t>
  </si>
  <si>
    <t>XL</t>
  </si>
  <si>
    <t>XL Capital</t>
  </si>
  <si>
    <t>XYL</t>
  </si>
  <si>
    <t>Xylem Inc.</t>
  </si>
  <si>
    <t>White Plains, New York</t>
  </si>
  <si>
    <t>YUM</t>
  </si>
  <si>
    <t>Yum! Brands Inc</t>
  </si>
  <si>
    <t>ZBH</t>
  </si>
  <si>
    <t>Zimmer Biomet Holdings</t>
  </si>
  <si>
    <t>Warsaw, Indiana</t>
  </si>
  <si>
    <t>ZION</t>
  </si>
  <si>
    <t>Zions Bancorp</t>
  </si>
  <si>
    <t>ZTS</t>
  </si>
  <si>
    <t>Zoetis</t>
  </si>
  <si>
    <t>Florham Park, New Jersey</t>
  </si>
  <si>
    <t>Sector2</t>
  </si>
  <si>
    <t>Industry Group</t>
  </si>
  <si>
    <t>Industry Group2</t>
  </si>
  <si>
    <t>Industry2</t>
  </si>
  <si>
    <t>Sub-Industry</t>
  </si>
  <si>
    <t>Sub-Industry2</t>
  </si>
  <si>
    <t>Coal &amp; Consumable Fuels</t>
  </si>
  <si>
    <t>Commodity Chemicals</t>
  </si>
  <si>
    <t>Aluminum</t>
  </si>
  <si>
    <t>Diversified Metals &amp; Mining</t>
  </si>
  <si>
    <t>Precious Metals &amp; Minerals</t>
  </si>
  <si>
    <t>Silver</t>
  </si>
  <si>
    <t>Forest Products</t>
  </si>
  <si>
    <t>Paper Products</t>
  </si>
  <si>
    <t>Capital Goods</t>
  </si>
  <si>
    <t>Heavy Electrical Equipment</t>
  </si>
  <si>
    <t>Commercial &amp; Professional Services</t>
  </si>
  <si>
    <t>Commercial Printing</t>
  </si>
  <si>
    <t>Office Services &amp; Supplies</t>
  </si>
  <si>
    <t>Security &amp; Alarm Services</t>
  </si>
  <si>
    <t>Transportation</t>
  </si>
  <si>
    <t>Airport Services</t>
  </si>
  <si>
    <t>Highways &amp; Railtracks</t>
  </si>
  <si>
    <t>Marine Ports &amp; Services</t>
  </si>
  <si>
    <t>Automobiles &amp; Components</t>
  </si>
  <si>
    <t>Consumer Durables &amp; Apparel</t>
  </si>
  <si>
    <t>Footwear</t>
  </si>
  <si>
    <t>Textiles</t>
  </si>
  <si>
    <t>Consumer Services</t>
  </si>
  <si>
    <t>Leisure Facilities</t>
  </si>
  <si>
    <t>Education Services</t>
  </si>
  <si>
    <t>Specialized Consumer Services</t>
  </si>
  <si>
    <t>Movies &amp; Entertainment</t>
  </si>
  <si>
    <t>Retailing</t>
  </si>
  <si>
    <t>Homefurnishing Retail</t>
  </si>
  <si>
    <t>Food, Beverage &amp; Tobacco</t>
  </si>
  <si>
    <t>Household &amp; Personal Products</t>
  </si>
  <si>
    <t>Health Care Equipment &amp; Services</t>
  </si>
  <si>
    <t>Pharmaceuticals, Biotechnology &amp; Life Sciences</t>
  </si>
  <si>
    <t>Banks</t>
  </si>
  <si>
    <t>Diversified Financials</t>
  </si>
  <si>
    <t>Diversified Financial Services</t>
  </si>
  <si>
    <t>Other Diversified Financial Services</t>
  </si>
  <si>
    <t>Specialized Finance</t>
  </si>
  <si>
    <t>Capital Markets</t>
  </si>
  <si>
    <t>Diversified Capital Markets</t>
  </si>
  <si>
    <t>Mortgage Real Estate Investment Trusts (REITs)</t>
  </si>
  <si>
    <t>Mortgage REITs</t>
  </si>
  <si>
    <t>Software &amp; Services</t>
  </si>
  <si>
    <t>Technology Hardware &amp; Equipment</t>
  </si>
  <si>
    <t>Technology Distributors</t>
  </si>
  <si>
    <t>Alternative Carriers</t>
  </si>
  <si>
    <t>Renewable Electricity</t>
  </si>
  <si>
    <t>Equity Real Estate Investment Trusts (REITs)</t>
  </si>
  <si>
    <t>Diversified REITs</t>
  </si>
  <si>
    <t>Diversified Real Estate Activities</t>
  </si>
  <si>
    <t>Real Estate Operating Companies</t>
  </si>
  <si>
    <t>Real Estate Development</t>
  </si>
  <si>
    <t>Beta</t>
  </si>
  <si>
    <t>Companies</t>
  </si>
  <si>
    <t>Response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</si>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</sst>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</font>
    <font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</borders>
  <cellStyleXfs count="1">
    <xf numFmtId="0" fontId="0" fillId="0" borderId="0"/>
  </cellStyleXfs>
  <cellXfs count="36">
    <xf numFmtId="0" fontId="0" fillId="0" borderId="0" xfId="0" applyFont="1" applyAlignment="1"/>
    <xf numFmtId="0" fontId="1" fillId="0" borderId="0" xfId="0" applyFont="1" applyAlignment="1"/>
    <xf numFmtId="10" fontId="1" fillId="0" borderId="0" xfId="0" applyNumberFormat="1" applyFont="1" applyAlignment="1"/>
    <xf numFmtId="0" fontId="0" fillId="0" borderId="0" xfId="0" applyNumberFormat="1" applyFont="1" applyAlignment="1"/>
    <xf numFmtId="0" fontId="2" fillId="0" borderId="0" xfId="0" applyFont="1" applyAlignment="1"/>
    <xf numFmtId="0" fontId="3" fillId="2" borderId="1" xfId="0" applyFont="1" applyFill="1" applyBorder="1"/>
    <xf numFmtId="0" fontId="1" fillId="0" borderId="1" xfId="0" applyFont="1" applyBorder="1" applyAlignment="1"/>
    <xf numFmtId="0" fontId="1" fillId="2" borderId="1" xfId="0" applyFont="1" applyFill="1" applyBorder="1" applyAlignment="1"/>
    <xf numFmtId="0" fontId="4" fillId="3" borderId="2" xfId="0" applyFont="1" applyFill="1" applyBorder="1" applyAlignment="1"/>
    <xf numFmtId="0" fontId="3" fillId="2" borderId="2" xfId="0" applyFont="1" applyFill="1" applyBorder="1" applyAlignment="1"/>
    <xf numFmtId="0" fontId="3" fillId="0" borderId="2" xfId="0" applyFont="1" applyBorder="1" applyAlignment="1"/>
    <xf numFmtId="0" fontId="3" fillId="0" borderId="2" xfId="0" applyFont="1" applyBorder="1"/>
    <xf numFmtId="0" fontId="3" fillId="2" borderId="2" xfId="0" applyFont="1" applyFill="1" applyBorder="1"/>
    <xf numFmtId="0" fontId="1" fillId="2" borderId="2" xfId="0" applyFont="1" applyFill="1" applyBorder="1" applyAlignment="1"/>
    <xf numFmtId="0" fontId="1" fillId="0" borderId="2" xfId="0" applyFont="1" applyBorder="1" applyAlignment="1"/>
    <xf numFmtId="0" fontId="4" fillId="3" borderId="2" xfId="0" applyFont="1" applyFill="1" applyBorder="1"/>
    <xf numFmtId="0" fontId="5" fillId="4" borderId="3" xfId="0" applyFont="1" applyFill="1" applyBorder="1" applyAlignment="1"/>
    <xf numFmtId="0" fontId="0" fillId="0" borderId="3" xfId="0" applyFont="1" applyBorder="1" applyAlignment="1"/>
    <xf numFmtId="0" fontId="5" fillId="5" borderId="3" xfId="0" applyFont="1" applyFill="1" applyBorder="1" applyAlignment="1"/>
    <xf numFmtId="0" fontId="6" fillId="5" borderId="3" xfId="0" applyFont="1" applyFill="1" applyBorder="1" applyAlignment="1"/>
    <xf numFmtId="0" fontId="6" fillId="6" borderId="3" xfId="0" applyFont="1" applyFill="1" applyBorder="1" applyAlignment="1"/>
    <xf numFmtId="0" fontId="5" fillId="6" borderId="3" xfId="0" applyFont="1" applyFill="1" applyBorder="1" applyAlignment="1"/>
    <xf numFmtId="0" fontId="5" fillId="0" borderId="3" xfId="0" applyFont="1" applyBorder="1" applyAlignment="1"/>
    <xf numFmtId="0" fontId="6" fillId="5" borderId="0" xfId="0" applyFont="1" applyFill="1" applyBorder="1" applyAlignment="1"/>
    <xf numFmtId="0" fontId="0" fillId="0" borderId="0" xfId="0" applyFont="1" applyBorder="1" applyAlignment="1"/>
    <xf numFmtId="0" fontId="3" fillId="8" borderId="5" xfId="0" applyNumberFormat="1" applyFont="1" applyFill="1" applyBorder="1" applyAlignment="1"/>
    <xf numFmtId="14" fontId="3" fillId="8" borderId="5" xfId="0" applyNumberFormat="1" applyFont="1" applyFill="1" applyBorder="1" applyAlignment="1"/>
    <xf numFmtId="0" fontId="3" fillId="8" borderId="5" xfId="0" applyFont="1" applyFill="1" applyBorder="1"/>
    <xf numFmtId="0" fontId="3" fillId="0" borderId="5" xfId="0" applyNumberFormat="1" applyFont="1" applyBorder="1" applyAlignment="1"/>
    <xf numFmtId="14" fontId="3" fillId="0" borderId="5" xfId="0" applyNumberFormat="1" applyFont="1" applyBorder="1" applyAlignment="1"/>
    <xf numFmtId="0" fontId="3" fillId="0" borderId="5" xfId="0" applyFont="1" applyBorder="1"/>
    <xf numFmtId="0" fontId="4" fillId="7" borderId="0" xfId="0" applyFont="1" applyFill="1" applyBorder="1"/>
    <xf numFmtId="0" fontId="4" fillId="7" borderId="0" xfId="0" applyFont="1" applyFill="1" applyBorder="1" applyAlignment="1"/>
    <xf numFmtId="0" fontId="2" fillId="0" borderId="3" xfId="0" applyFont="1" applyBorder="1" applyAlignment="1"/>
    <xf numFmtId="0" fontId="5" fillId="0" borderId="4" xfId="0" applyFont="1" applyBorder="1" applyAlignment="1"/>
    <xf numFmtId="0" fontId="6" fillId="6" borderId="3" xfId="0" applyFont="1" applyFill="1" applyBorder="1" applyAlignment="1">
      <alignment horizontal="center"/>
    </xf>
  </cellXfs>
  <cellStyles count="1"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300-000000000000}" autoFormatId="16" applyNumberFormats="0" applyBorderFormats="0" applyFontFormats="0" applyPatternFormats="0" applyAlignmentFormats="0" applyWidthHeightFormats="0">
  <queryTableRefresh nextId="9">
    <queryTableFields count="8">
      <queryTableField id="1" name="Sector" tableColumnId="1"/>
      <queryTableField id="2" name="Sector2" tableColumnId="2"/>
      <queryTableField id="3" name="Industry Group" tableColumnId="3"/>
      <queryTableField id="4" name="Industry Group2" tableColumnId="4"/>
      <queryTableField id="5" name="Industry" tableColumnId="5"/>
      <queryTableField id="6" name="Industry2" tableColumnId="6"/>
      <queryTableField id="7" name="Sub-Industry" tableColumnId="7"/>
      <queryTableField id="8" name="Sub-Industry2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6CAB770-4DF7-4C65-9342-09D6167C13C0}" name="Classification_edit" displayName="Classification_edit" ref="A1:H159" tableType="queryTable" totalsRowShown="0">
  <autoFilter ref="A1:H159" xr:uid="{67EA6B87-5888-453F-B302-D553717B6B8A}"/>
  <tableColumns count="8">
    <tableColumn id="1" xr3:uid="{47DC5D1C-B55E-4D52-ABCB-17B1ED4B67DE}" uniqueName="1" name="Sector" queryTableFieldId="1"/>
    <tableColumn id="2" xr3:uid="{170C8014-18C0-4A82-9658-F74A18EEEC10}" uniqueName="2" name="Sector2" queryTableFieldId="2" dataDxfId="15"/>
    <tableColumn id="3" xr3:uid="{BBD02680-95E9-4169-896B-E7324582250F}" uniqueName="3" name="Industry Group" queryTableFieldId="3"/>
    <tableColumn id="4" xr3:uid="{C3841096-27BF-4449-93AE-C70676173998}" uniqueName="4" name="Industry Group2" queryTableFieldId="4" dataDxfId="14"/>
    <tableColumn id="5" xr3:uid="{53310137-ADBF-4F79-AC74-569DB402BBE5}" uniqueName="5" name="Industry" queryTableFieldId="5"/>
    <tableColumn id="6" xr3:uid="{089968DD-6A4D-407C-959F-75E0FE48BF01}" uniqueName="6" name="Industry2" queryTableFieldId="6" dataDxfId="13"/>
    <tableColumn id="7" xr3:uid="{0BB09104-B3D3-4658-8C5B-208020325793}" uniqueName="7" name="Sub-Industry" queryTableFieldId="7"/>
    <tableColumn id="8" xr3:uid="{21F67BCE-35CA-4D38-9138-F180071D95F9}" uniqueName="8" name="Sub-Industry2" queryTableFieldId="8" dataDxf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339EFD-820B-4553-A715-FED33D5757A4}" name="SP" displayName="SP" ref="A1:I506" totalsRowShown="0" headerRowDxfId="11" dataDxfId="10" tableBorderDxfId="9">
  <autoFilter ref="A1:I506" xr:uid="{9AD3ACB5-4A8A-40F1-BC3E-C3F7E7AA24B4}"/>
  <tableColumns count="9">
    <tableColumn id="1" xr3:uid="{01010ABE-6843-4769-A378-A34A8FF3BA54}" name="Ticker symbol" dataDxfId="8"/>
    <tableColumn id="2" xr3:uid="{1D0EB9DC-8B8A-48C8-B34B-F24323AD7F32}" name="Security" dataDxfId="7"/>
    <tableColumn id="3" xr3:uid="{995DC718-7B86-4F9C-B881-5250F2D39E3E}" name="SEC filings" dataDxfId="6"/>
    <tableColumn id="4" xr3:uid="{765DBFEE-F5EB-41D5-8406-CB06AF8DCE21}" name="GICS Sector" dataDxfId="5"/>
    <tableColumn id="5" xr3:uid="{E734FAB1-0D95-44E0-9BD5-08D3F9474167}" name="GICS Sub Industry" dataDxfId="4"/>
    <tableColumn id="6" xr3:uid="{3DBA8C14-FF7D-4CAB-83A6-A7896880E61F}" name="Address of Headquarters" dataDxfId="3"/>
    <tableColumn id="7" xr3:uid="{0C067646-11C3-4CD6-AF84-72B39C8FDF76}" name="Date first added" dataDxfId="2"/>
    <tableColumn id="8" xr3:uid="{E4C6F1B7-683C-47DE-AA4B-6E1B798ABDDE}" name="CIK" dataDxfId="1"/>
    <tableColumn id="9" xr3:uid="{6728AFEB-7C6E-40A1-B4F2-D9E5A01127E9}" name="Industry" dataDxfId="0">
      <calculatedColumnFormula>VLOOKUP('S&amp;P 500'!$E2,'Converted GISC'!$A$1:$C$159,2,FALSE)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D329C-C48C-4978-B028-3DFB9C927D2D}">
  <sheetPr codeName="Sheet14"/>
  <dimension ref="A1:B30"/>
  <sheetViews>
    <sheetView tabSelected="1" workbookViewId="0">
      <selection activeCell="D7" sqref="D7"/>
    </sheetView>
  </sheetViews>
  <sheetFormatPr defaultRowHeight="12.5" x14ac:dyDescent="0.25"/>
  <cols>
    <col min="1" max="1" width="23.26953125" bestFit="1" customWidth="1"/>
    <col min="2" max="2" width="28.453125" customWidth="1"/>
  </cols>
  <sheetData>
    <row r="1" spans="1:2" ht="26" customHeight="1" x14ac:dyDescent="0.3">
      <c r="A1" s="34" t="s">
        <v>1527</v>
      </c>
      <c r="B1" s="34" t="s">
        <v>1526</v>
      </c>
    </row>
    <row r="2" spans="1:2" ht="13" x14ac:dyDescent="0.3">
      <c r="A2" s="16" t="s">
        <v>83</v>
      </c>
      <c r="B2" s="33" t="s">
        <v>104</v>
      </c>
    </row>
    <row r="3" spans="1:2" ht="13" x14ac:dyDescent="0.3">
      <c r="A3" s="16" t="s">
        <v>84</v>
      </c>
      <c r="B3" s="33" t="s">
        <v>104</v>
      </c>
    </row>
    <row r="4" spans="1:2" ht="13" x14ac:dyDescent="0.3">
      <c r="A4" s="16" t="s">
        <v>85</v>
      </c>
      <c r="B4" s="17" t="s">
        <v>75</v>
      </c>
    </row>
    <row r="5" spans="1:2" ht="13" x14ac:dyDescent="0.3">
      <c r="A5" s="16" t="s">
        <v>86</v>
      </c>
      <c r="B5" s="17" t="s">
        <v>0</v>
      </c>
    </row>
    <row r="6" spans="1:2" ht="13" x14ac:dyDescent="0.3">
      <c r="A6" s="16" t="s">
        <v>95</v>
      </c>
      <c r="B6" s="17"/>
    </row>
    <row r="8" spans="1:2" ht="13" x14ac:dyDescent="0.3">
      <c r="A8" s="18" t="s">
        <v>4</v>
      </c>
      <c r="B8" s="17"/>
    </row>
    <row r="9" spans="1:2" ht="13" x14ac:dyDescent="0.3">
      <c r="A9" s="19" t="s">
        <v>5</v>
      </c>
      <c r="B9" s="17"/>
    </row>
    <row r="10" spans="1:2" ht="13" x14ac:dyDescent="0.3">
      <c r="A10" s="19" t="s">
        <v>6</v>
      </c>
      <c r="B10" s="17"/>
    </row>
    <row r="11" spans="1:2" ht="13" x14ac:dyDescent="0.3">
      <c r="A11" s="19" t="s">
        <v>7</v>
      </c>
      <c r="B11" s="17"/>
    </row>
    <row r="12" spans="1:2" ht="13" x14ac:dyDescent="0.3">
      <c r="A12" s="19" t="s">
        <v>9</v>
      </c>
      <c r="B12" s="17"/>
    </row>
    <row r="13" spans="1:2" ht="13" x14ac:dyDescent="0.3">
      <c r="A13" s="23" t="s">
        <v>1524</v>
      </c>
      <c r="B13" s="24"/>
    </row>
    <row r="14" spans="1:2" x14ac:dyDescent="0.25">
      <c r="A14" s="1"/>
    </row>
    <row r="15" spans="1:2" ht="13" x14ac:dyDescent="0.3">
      <c r="A15" s="35" t="s">
        <v>92</v>
      </c>
      <c r="B15" s="35"/>
    </row>
    <row r="16" spans="1:2" ht="13" x14ac:dyDescent="0.3">
      <c r="A16" s="20" t="s">
        <v>93</v>
      </c>
      <c r="B16" s="21" t="s">
        <v>94</v>
      </c>
    </row>
    <row r="17" spans="1:2" ht="13" x14ac:dyDescent="0.3">
      <c r="A17" s="22">
        <v>1</v>
      </c>
      <c r="B17" s="17"/>
    </row>
    <row r="18" spans="1:2" ht="13" x14ac:dyDescent="0.3">
      <c r="A18" s="22">
        <v>2</v>
      </c>
      <c r="B18" s="17"/>
    </row>
    <row r="19" spans="1:2" ht="13" x14ac:dyDescent="0.3">
      <c r="A19" s="22">
        <v>3</v>
      </c>
      <c r="B19" s="17"/>
    </row>
    <row r="20" spans="1:2" ht="13" x14ac:dyDescent="0.3">
      <c r="A20" s="22">
        <v>4</v>
      </c>
      <c r="B20" s="17"/>
    </row>
    <row r="21" spans="1:2" ht="13" x14ac:dyDescent="0.3">
      <c r="A21" s="22">
        <v>5</v>
      </c>
      <c r="B21" s="17"/>
    </row>
    <row r="22" spans="1:2" ht="13" x14ac:dyDescent="0.3">
      <c r="A22" s="22">
        <v>6</v>
      </c>
      <c r="B22" s="17"/>
    </row>
    <row r="23" spans="1:2" ht="13" x14ac:dyDescent="0.3">
      <c r="A23" s="22">
        <v>7</v>
      </c>
      <c r="B23" s="17"/>
    </row>
    <row r="24" spans="1:2" ht="13" x14ac:dyDescent="0.3">
      <c r="A24" s="22">
        <v>8</v>
      </c>
      <c r="B24" s="17"/>
    </row>
    <row r="25" spans="1:2" ht="13" x14ac:dyDescent="0.3">
      <c r="A25" s="22">
        <v>9</v>
      </c>
      <c r="B25" s="17"/>
    </row>
    <row r="26" spans="1:2" ht="13" x14ac:dyDescent="0.3">
      <c r="A26" s="22">
        <v>10</v>
      </c>
      <c r="B26" s="17"/>
    </row>
    <row r="27" spans="1:2" ht="13" x14ac:dyDescent="0.3">
      <c r="A27" s="22">
        <v>11</v>
      </c>
      <c r="B27" s="17"/>
    </row>
    <row r="28" spans="1:2" ht="13" x14ac:dyDescent="0.3">
      <c r="A28" s="22">
        <v>12</v>
      </c>
      <c r="B28" s="17"/>
    </row>
    <row r="29" spans="1:2" ht="13" x14ac:dyDescent="0.3">
      <c r="A29" s="22">
        <v>13</v>
      </c>
      <c r="B29" s="17"/>
    </row>
    <row r="30" spans="1:2" ht="13" x14ac:dyDescent="0.3">
      <c r="A30" s="22">
        <v>14</v>
      </c>
      <c r="B30" s="17"/>
    </row>
  </sheetData>
  <mergeCells count="1">
    <mergeCell ref="A15:B15"/>
  </mergeCells>
  <dataValidations count="3">
    <dataValidation type="list" allowBlank="1" showInputMessage="1" showErrorMessage="1" sqref="B4" xr:uid="{1F4617D2-B7A6-4051-9D27-B541E7F05B3B}">
      <formula1>Sector</formula1>
    </dataValidation>
    <dataValidation type="list" allowBlank="1" showInputMessage="1" showErrorMessage="1" sqref="B5" xr:uid="{D5B84213-88B9-41C6-A5AA-810D9D650694}">
      <formula1>INDIRECT(B4)</formula1>
    </dataValidation>
    <dataValidation type="list" allowBlank="1" showInputMessage="1" showErrorMessage="1" sqref="B6" xr:uid="{BDE47D80-1BB8-4F66-8F08-3197BD92CF2F}">
      <formula1>"Long-Term, Short-Term"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23D72-9663-4ED7-9C51-A5C99AC9DBA8}">
  <dimension ref="A1:BQ33"/>
  <sheetViews>
    <sheetView workbookViewId="0">
      <selection activeCell="C10" sqref="C10"/>
    </sheetView>
  </sheetViews>
  <sheetFormatPr defaultRowHeight="12.5" x14ac:dyDescent="0.25"/>
  <cols>
    <col min="1" max="1" width="9.7265625" bestFit="1" customWidth="1"/>
    <col min="2" max="2" width="22.36328125" bestFit="1" customWidth="1"/>
    <col min="3" max="3" width="21.90625" bestFit="1" customWidth="1"/>
    <col min="4" max="4" width="17.36328125" bestFit="1" customWidth="1"/>
    <col min="5" max="5" width="24.1796875" bestFit="1" customWidth="1"/>
    <col min="6" max="6" width="13.6328125" bestFit="1" customWidth="1"/>
    <col min="7" max="7" width="40.6328125" bestFit="1" customWidth="1"/>
    <col min="8" max="8" width="17.36328125" bestFit="1" customWidth="1"/>
    <col min="9" max="9" width="17.7265625" bestFit="1" customWidth="1"/>
    <col min="10" max="10" width="25.54296875" bestFit="1" customWidth="1"/>
    <col min="11" max="11" width="47.08984375" bestFit="1" customWidth="1"/>
    <col min="12" max="12" width="10.81640625" bestFit="1" customWidth="1"/>
    <col min="13" max="13" width="11.90625" bestFit="1" customWidth="1"/>
    <col min="14" max="14" width="15.08984375" bestFit="1" customWidth="1"/>
    <col min="15" max="15" width="10.54296875" bestFit="1" customWidth="1"/>
    <col min="16" max="16" width="9.90625" bestFit="1" customWidth="1"/>
    <col min="17" max="17" width="25.453125" bestFit="1" customWidth="1"/>
    <col min="18" max="18" width="24.90625" bestFit="1" customWidth="1"/>
    <col min="19" max="19" width="16.81640625" bestFit="1" customWidth="1"/>
    <col min="20" max="20" width="27.81640625" bestFit="1" customWidth="1"/>
    <col min="21" max="21" width="14.36328125" bestFit="1" customWidth="1"/>
    <col min="23" max="23" width="12.26953125" bestFit="1" customWidth="1"/>
    <col min="24" max="24" width="13.26953125" bestFit="1" customWidth="1"/>
    <col min="25" max="25" width="27.90625" bestFit="1" customWidth="1"/>
    <col min="26" max="26" width="9.36328125" bestFit="1" customWidth="1"/>
    <col min="27" max="27" width="20.7265625" bestFit="1" customWidth="1"/>
    <col min="28" max="28" width="12.54296875" bestFit="1" customWidth="1"/>
    <col min="29" max="29" width="16.81640625" bestFit="1" customWidth="1"/>
    <col min="30" max="30" width="15.54296875" bestFit="1" customWidth="1"/>
    <col min="32" max="32" width="24.7265625" bestFit="1" customWidth="1"/>
    <col min="33" max="33" width="24.6328125" bestFit="1" customWidth="1"/>
    <col min="34" max="34" width="11.90625" bestFit="1" customWidth="1"/>
    <col min="35" max="35" width="28.54296875" bestFit="1" customWidth="1"/>
    <col min="36" max="36" width="27.81640625" bestFit="1" customWidth="1"/>
    <col min="37" max="37" width="20.08984375" bestFit="1" customWidth="1"/>
    <col min="38" max="38" width="25.81640625" bestFit="1" customWidth="1"/>
    <col min="39" max="39" width="14" bestFit="1" customWidth="1"/>
    <col min="40" max="41" width="18.54296875" bestFit="1" customWidth="1"/>
    <col min="43" max="43" width="14.6328125" bestFit="1" customWidth="1"/>
    <col min="44" max="44" width="27" bestFit="1" customWidth="1"/>
    <col min="45" max="45" width="22.54296875" bestFit="1" customWidth="1"/>
    <col min="46" max="46" width="17.1796875" bestFit="1" customWidth="1"/>
    <col min="47" max="47" width="20.81640625" bestFit="1" customWidth="1"/>
    <col min="48" max="48" width="9" bestFit="1" customWidth="1"/>
    <col min="50" max="50" width="18.1796875" bestFit="1" customWidth="1"/>
    <col min="51" max="51" width="10.36328125" bestFit="1" customWidth="1"/>
    <col min="52" max="52" width="28" bestFit="1" customWidth="1"/>
    <col min="53" max="53" width="23.81640625" bestFit="1" customWidth="1"/>
    <col min="54" max="54" width="23" bestFit="1" customWidth="1"/>
    <col min="55" max="55" width="40.81640625" bestFit="1" customWidth="1"/>
    <col min="56" max="57" width="24.08984375" bestFit="1" customWidth="1"/>
    <col min="58" max="58" width="37.08984375" bestFit="1" customWidth="1"/>
    <col min="60" max="60" width="37.6328125" bestFit="1" customWidth="1"/>
    <col min="61" max="61" width="32.6328125" bestFit="1" customWidth="1"/>
    <col min="62" max="62" width="31.26953125" bestFit="1" customWidth="1"/>
    <col min="63" max="63" width="9" bestFit="1" customWidth="1"/>
    <col min="64" max="64" width="18.81640625" bestFit="1" customWidth="1"/>
    <col min="65" max="65" width="20.08984375" bestFit="1" customWidth="1"/>
    <col min="66" max="66" width="13.6328125" bestFit="1" customWidth="1"/>
    <col min="67" max="67" width="20.90625" bestFit="1" customWidth="1"/>
    <col min="68" max="68" width="37.81640625" bestFit="1" customWidth="1"/>
    <col min="69" max="69" width="34.26953125" bestFit="1" customWidth="1"/>
  </cols>
  <sheetData>
    <row r="1" spans="1:69" x14ac:dyDescent="0.25">
      <c r="A1" s="4" t="s">
        <v>86</v>
      </c>
      <c r="B1" s="1" t="s">
        <v>1505</v>
      </c>
      <c r="C1" s="1" t="s">
        <v>1510</v>
      </c>
      <c r="D1" s="1" t="s">
        <v>0</v>
      </c>
      <c r="E1" s="1" t="s">
        <v>1507</v>
      </c>
      <c r="F1" s="1" t="s">
        <v>1</v>
      </c>
      <c r="G1" s="1" t="s">
        <v>1512</v>
      </c>
      <c r="H1" s="1" t="s">
        <v>1132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R1" s="1" t="s">
        <v>20</v>
      </c>
      <c r="S1" s="1" t="s">
        <v>21</v>
      </c>
      <c r="T1" s="1" t="s">
        <v>206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  <c r="Z1" s="1" t="s">
        <v>28</v>
      </c>
      <c r="AA1" s="1" t="s">
        <v>29</v>
      </c>
      <c r="AB1" s="1" t="s">
        <v>30</v>
      </c>
      <c r="AC1" s="1" t="s">
        <v>31</v>
      </c>
      <c r="AD1" s="1" t="s">
        <v>32</v>
      </c>
      <c r="AE1" s="1" t="s">
        <v>33</v>
      </c>
      <c r="AF1" s="1" t="s">
        <v>34</v>
      </c>
      <c r="AG1" s="1" t="s">
        <v>35</v>
      </c>
      <c r="AH1" s="1" t="s">
        <v>36</v>
      </c>
      <c r="AI1" s="1" t="s">
        <v>37</v>
      </c>
      <c r="AJ1" s="1" t="s">
        <v>38</v>
      </c>
      <c r="AK1" s="1" t="s">
        <v>39</v>
      </c>
      <c r="AL1" s="1" t="s">
        <v>40</v>
      </c>
      <c r="AM1" s="1" t="s">
        <v>41</v>
      </c>
      <c r="AN1" s="1" t="s">
        <v>42</v>
      </c>
      <c r="AO1" s="1" t="s">
        <v>43</v>
      </c>
      <c r="AP1" s="1" t="s">
        <v>44</v>
      </c>
      <c r="AQ1" s="1" t="s">
        <v>45</v>
      </c>
      <c r="AR1" s="1" t="s">
        <v>46</v>
      </c>
      <c r="AS1" s="1" t="s">
        <v>47</v>
      </c>
      <c r="AT1" s="1" t="s">
        <v>48</v>
      </c>
      <c r="AU1" s="1" t="s">
        <v>49</v>
      </c>
      <c r="AV1" s="1" t="s">
        <v>50</v>
      </c>
      <c r="AW1" s="1" t="s">
        <v>51</v>
      </c>
      <c r="AX1" s="1" t="s">
        <v>52</v>
      </c>
      <c r="AY1" s="1" t="s">
        <v>53</v>
      </c>
      <c r="AZ1" s="1" t="s">
        <v>54</v>
      </c>
      <c r="BA1" s="1" t="s">
        <v>55</v>
      </c>
      <c r="BB1" s="1" t="s">
        <v>56</v>
      </c>
      <c r="BC1" s="1" t="s">
        <v>57</v>
      </c>
      <c r="BD1" s="1" t="s">
        <v>59</v>
      </c>
      <c r="BE1" s="1" t="s">
        <v>58</v>
      </c>
      <c r="BF1" s="1" t="s">
        <v>60</v>
      </c>
      <c r="BG1" s="1" t="s">
        <v>61</v>
      </c>
      <c r="BH1" s="1" t="s">
        <v>62</v>
      </c>
      <c r="BI1" s="1" t="s">
        <v>63</v>
      </c>
      <c r="BJ1" s="1" t="s">
        <v>64</v>
      </c>
      <c r="BK1" s="1" t="s">
        <v>65</v>
      </c>
      <c r="BL1" s="1" t="s">
        <v>66</v>
      </c>
      <c r="BM1" s="1" t="s">
        <v>67</v>
      </c>
      <c r="BN1" s="1" t="s">
        <v>68</v>
      </c>
      <c r="BO1" s="1" t="s">
        <v>69</v>
      </c>
      <c r="BP1" s="1" t="s">
        <v>1519</v>
      </c>
      <c r="BQ1" s="1" t="s">
        <v>71</v>
      </c>
    </row>
    <row r="2" spans="1:69" x14ac:dyDescent="0.25">
      <c r="A2" s="4" t="s">
        <v>1525</v>
      </c>
      <c r="B2" s="4" t="s">
        <v>325</v>
      </c>
      <c r="C2" s="4" t="s">
        <v>146</v>
      </c>
      <c r="D2" s="4" t="s">
        <v>216</v>
      </c>
      <c r="E2" t="s">
        <v>341</v>
      </c>
      <c r="F2" t="s">
        <v>150</v>
      </c>
      <c r="H2" t="s">
        <v>1130</v>
      </c>
      <c r="I2" t="s">
        <v>189</v>
      </c>
      <c r="K2" t="s">
        <v>138</v>
      </c>
      <c r="L2" t="s">
        <v>207</v>
      </c>
      <c r="M2" t="s">
        <v>225</v>
      </c>
      <c r="N2" t="s">
        <v>282</v>
      </c>
      <c r="O2" t="s">
        <v>718</v>
      </c>
      <c r="P2" t="s">
        <v>941</v>
      </c>
      <c r="R2" t="s">
        <v>407</v>
      </c>
      <c r="S2" t="s">
        <v>546</v>
      </c>
      <c r="T2" t="s">
        <v>204</v>
      </c>
      <c r="U2" t="s">
        <v>781</v>
      </c>
      <c r="V2" t="s">
        <v>419</v>
      </c>
      <c r="W2" t="s">
        <v>582</v>
      </c>
      <c r="X2" t="s">
        <v>134</v>
      </c>
      <c r="Y2" t="s">
        <v>770</v>
      </c>
      <c r="Z2" t="s">
        <v>377</v>
      </c>
      <c r="AA2" t="s">
        <v>523</v>
      </c>
      <c r="AB2" t="s">
        <v>286</v>
      </c>
      <c r="AC2" t="s">
        <v>460</v>
      </c>
      <c r="AD2" t="s">
        <v>527</v>
      </c>
      <c r="AE2" t="s">
        <v>201</v>
      </c>
      <c r="AF2" t="s">
        <v>318</v>
      </c>
      <c r="AG2" t="s">
        <v>245</v>
      </c>
      <c r="AH2" t="s">
        <v>175</v>
      </c>
      <c r="AI2" t="s">
        <v>108</v>
      </c>
      <c r="AJ2" t="s">
        <v>142</v>
      </c>
      <c r="AK2" t="s">
        <v>433</v>
      </c>
      <c r="AL2" t="s">
        <v>838</v>
      </c>
      <c r="AM2" t="s">
        <v>112</v>
      </c>
      <c r="AN2" t="s">
        <v>290</v>
      </c>
      <c r="AO2" t="s">
        <v>381</v>
      </c>
      <c r="AP2" t="s">
        <v>164</v>
      </c>
      <c r="AQ2" t="s">
        <v>181</v>
      </c>
      <c r="AR2" t="s">
        <v>471</v>
      </c>
      <c r="AS2" t="s">
        <v>711</v>
      </c>
      <c r="AT2" t="s">
        <v>122</v>
      </c>
      <c r="AU2" t="s">
        <v>104</v>
      </c>
      <c r="AV2" t="s">
        <v>411</v>
      </c>
      <c r="AX2" t="s">
        <v>645</v>
      </c>
      <c r="AY2" t="s">
        <v>534</v>
      </c>
      <c r="AZ2" t="s">
        <v>1367</v>
      </c>
      <c r="BB2" t="s">
        <v>475</v>
      </c>
      <c r="BC2" t="s">
        <v>241</v>
      </c>
      <c r="BD2" t="s">
        <v>161</v>
      </c>
      <c r="BE2" t="s">
        <v>114</v>
      </c>
      <c r="BF2" t="s">
        <v>130</v>
      </c>
      <c r="BG2" t="s">
        <v>118</v>
      </c>
      <c r="BH2" t="s">
        <v>276</v>
      </c>
      <c r="BI2" t="s">
        <v>298</v>
      </c>
      <c r="BK2" t="s">
        <v>157</v>
      </c>
      <c r="BL2" t="s">
        <v>970</v>
      </c>
      <c r="BM2" t="s">
        <v>314</v>
      </c>
      <c r="BN2" t="s">
        <v>730</v>
      </c>
      <c r="BP2" t="s">
        <v>171</v>
      </c>
      <c r="BQ2" t="s">
        <v>415</v>
      </c>
    </row>
    <row r="3" spans="1:69" x14ac:dyDescent="0.25">
      <c r="A3" s="4"/>
      <c r="B3" s="4" t="s">
        <v>334</v>
      </c>
      <c r="C3" s="3" t="s">
        <v>228</v>
      </c>
      <c r="D3" s="4" t="s">
        <v>354</v>
      </c>
      <c r="E3" t="s">
        <v>934</v>
      </c>
      <c r="F3" t="s">
        <v>192</v>
      </c>
      <c r="I3" t="s">
        <v>213</v>
      </c>
      <c r="K3" t="s">
        <v>1094</v>
      </c>
      <c r="L3" t="s">
        <v>428</v>
      </c>
      <c r="N3" t="s">
        <v>363</v>
      </c>
      <c r="O3" t="s">
        <v>751</v>
      </c>
      <c r="R3" t="s">
        <v>454</v>
      </c>
      <c r="S3" t="s">
        <v>736</v>
      </c>
      <c r="T3" t="s">
        <v>360</v>
      </c>
      <c r="U3" t="s">
        <v>979</v>
      </c>
      <c r="V3" t="s">
        <v>443</v>
      </c>
      <c r="W3" t="s">
        <v>586</v>
      </c>
      <c r="X3" t="s">
        <v>308</v>
      </c>
      <c r="Y3" t="s">
        <v>1003</v>
      </c>
      <c r="Z3" t="s">
        <v>493</v>
      </c>
      <c r="AA3" t="s">
        <v>542</v>
      </c>
      <c r="AB3" t="s">
        <v>392</v>
      </c>
      <c r="AC3" t="s">
        <v>485</v>
      </c>
      <c r="AD3" t="s">
        <v>655</v>
      </c>
      <c r="AE3" t="s">
        <v>1146</v>
      </c>
      <c r="AF3" t="s">
        <v>768</v>
      </c>
      <c r="AG3" t="s">
        <v>252</v>
      </c>
      <c r="AH3" t="s">
        <v>238</v>
      </c>
      <c r="AI3" t="s">
        <v>154</v>
      </c>
      <c r="AJ3" t="s">
        <v>231</v>
      </c>
      <c r="AL3" t="s">
        <v>997</v>
      </c>
      <c r="AM3" t="s">
        <v>183</v>
      </c>
      <c r="AN3" t="s">
        <v>357</v>
      </c>
      <c r="AO3" t="s">
        <v>669</v>
      </c>
      <c r="AP3" t="s">
        <v>210</v>
      </c>
      <c r="AQ3" t="s">
        <v>266</v>
      </c>
      <c r="AR3" t="s">
        <v>1215</v>
      </c>
      <c r="AS3" t="s">
        <v>872</v>
      </c>
      <c r="AT3" t="s">
        <v>235</v>
      </c>
      <c r="AU3" t="s">
        <v>744</v>
      </c>
      <c r="AV3" t="s">
        <v>538</v>
      </c>
      <c r="AX3" t="s">
        <v>833</v>
      </c>
      <c r="AY3" t="s">
        <v>874</v>
      </c>
      <c r="BB3" t="s">
        <v>680</v>
      </c>
      <c r="BC3" t="s">
        <v>520</v>
      </c>
      <c r="BD3" t="s">
        <v>196</v>
      </c>
      <c r="BE3" t="s">
        <v>185</v>
      </c>
      <c r="BF3" t="s">
        <v>249</v>
      </c>
      <c r="BG3" t="s">
        <v>126</v>
      </c>
      <c r="BH3" t="s">
        <v>802</v>
      </c>
      <c r="BI3" t="s">
        <v>430</v>
      </c>
      <c r="BK3" t="s">
        <v>167</v>
      </c>
      <c r="BL3" t="s">
        <v>1401</v>
      </c>
      <c r="BM3" t="s">
        <v>321</v>
      </c>
      <c r="BN3" t="s">
        <v>1061</v>
      </c>
      <c r="BP3" t="s">
        <v>221</v>
      </c>
    </row>
    <row r="4" spans="1:69" x14ac:dyDescent="0.25">
      <c r="B4" s="4" t="s">
        <v>477</v>
      </c>
      <c r="C4" t="s">
        <v>329</v>
      </c>
      <c r="D4" t="s">
        <v>396</v>
      </c>
      <c r="F4" t="s">
        <v>219</v>
      </c>
      <c r="I4" t="s">
        <v>512</v>
      </c>
      <c r="L4" t="s">
        <v>490</v>
      </c>
      <c r="N4" t="s">
        <v>762</v>
      </c>
      <c r="O4" t="s">
        <v>773</v>
      </c>
      <c r="R4" t="s">
        <v>552</v>
      </c>
      <c r="S4" t="s">
        <v>928</v>
      </c>
      <c r="T4" t="s">
        <v>666</v>
      </c>
      <c r="V4" t="s">
        <v>501</v>
      </c>
      <c r="W4" t="s">
        <v>910</v>
      </c>
      <c r="X4" t="s">
        <v>345</v>
      </c>
      <c r="Y4" t="s">
        <v>1074</v>
      </c>
      <c r="Z4" t="s">
        <v>514</v>
      </c>
      <c r="AA4" t="s">
        <v>915</v>
      </c>
      <c r="AB4" t="s">
        <v>505</v>
      </c>
      <c r="AC4" t="s">
        <v>499</v>
      </c>
      <c r="AD4" t="s">
        <v>1168</v>
      </c>
      <c r="AF4" t="s">
        <v>790</v>
      </c>
      <c r="AG4" t="s">
        <v>269</v>
      </c>
      <c r="AH4" t="s">
        <v>349</v>
      </c>
      <c r="AI4" t="s">
        <v>178</v>
      </c>
      <c r="AJ4" t="s">
        <v>259</v>
      </c>
      <c r="AM4" t="s">
        <v>936</v>
      </c>
      <c r="AN4" t="s">
        <v>742</v>
      </c>
      <c r="AO4" t="s">
        <v>692</v>
      </c>
      <c r="AP4" t="s">
        <v>562</v>
      </c>
      <c r="AQ4" t="s">
        <v>685</v>
      </c>
      <c r="AR4" t="s">
        <v>1283</v>
      </c>
      <c r="AS4" t="s">
        <v>1189</v>
      </c>
      <c r="AT4" t="s">
        <v>615</v>
      </c>
      <c r="AU4" t="s">
        <v>811</v>
      </c>
      <c r="AV4" t="s">
        <v>558</v>
      </c>
      <c r="AX4" t="s">
        <v>1072</v>
      </c>
      <c r="AY4" t="s">
        <v>891</v>
      </c>
      <c r="BB4" t="s">
        <v>776</v>
      </c>
      <c r="BC4" t="s">
        <v>705</v>
      </c>
      <c r="BD4" t="s">
        <v>199</v>
      </c>
      <c r="BE4" t="s">
        <v>496</v>
      </c>
      <c r="BF4" t="s">
        <v>279</v>
      </c>
      <c r="BG4" t="s">
        <v>256</v>
      </c>
      <c r="BH4" t="s">
        <v>821</v>
      </c>
      <c r="BI4" t="s">
        <v>1391</v>
      </c>
      <c r="BK4" t="s">
        <v>436</v>
      </c>
      <c r="BM4" t="s">
        <v>853</v>
      </c>
      <c r="BN4" t="s">
        <v>1097</v>
      </c>
      <c r="BP4" t="s">
        <v>272</v>
      </c>
    </row>
    <row r="5" spans="1:69" x14ac:dyDescent="0.25">
      <c r="B5" s="4" t="s">
        <v>479</v>
      </c>
      <c r="C5" t="s">
        <v>352</v>
      </c>
      <c r="D5" t="s">
        <v>571</v>
      </c>
      <c r="F5" t="s">
        <v>262</v>
      </c>
      <c r="I5" t="s">
        <v>589</v>
      </c>
      <c r="L5" t="s">
        <v>600</v>
      </c>
      <c r="R5" t="s">
        <v>804</v>
      </c>
      <c r="S5" t="s">
        <v>932</v>
      </c>
      <c r="T5" t="s">
        <v>1336</v>
      </c>
      <c r="V5" t="s">
        <v>574</v>
      </c>
      <c r="W5" t="s">
        <v>958</v>
      </c>
      <c r="X5" t="s">
        <v>405</v>
      </c>
      <c r="Y5" t="s">
        <v>1156</v>
      </c>
      <c r="Z5" t="s">
        <v>598</v>
      </c>
      <c r="AA5" t="s">
        <v>1296</v>
      </c>
      <c r="AB5" t="s">
        <v>748</v>
      </c>
      <c r="AC5" t="s">
        <v>899</v>
      </c>
      <c r="AF5" t="s">
        <v>1046</v>
      </c>
      <c r="AG5" t="s">
        <v>388</v>
      </c>
      <c r="AH5" t="s">
        <v>422</v>
      </c>
      <c r="AI5" t="s">
        <v>331</v>
      </c>
      <c r="AJ5" t="s">
        <v>373</v>
      </c>
      <c r="AM5" t="s">
        <v>992</v>
      </c>
      <c r="AN5" t="s">
        <v>827</v>
      </c>
      <c r="AO5" t="s">
        <v>1365</v>
      </c>
      <c r="AP5" t="s">
        <v>1272</v>
      </c>
      <c r="AQ5" t="s">
        <v>725</v>
      </c>
      <c r="AR5" t="s">
        <v>1411</v>
      </c>
      <c r="AT5" t="s">
        <v>630</v>
      </c>
      <c r="AU5" t="s">
        <v>1228</v>
      </c>
      <c r="AV5" t="s">
        <v>591</v>
      </c>
      <c r="AX5" t="s">
        <v>1220</v>
      </c>
      <c r="AY5" t="s">
        <v>1084</v>
      </c>
      <c r="BB5" t="s">
        <v>889</v>
      </c>
      <c r="BC5" t="s">
        <v>1306</v>
      </c>
      <c r="BD5" t="s">
        <v>305</v>
      </c>
      <c r="BE5" t="s">
        <v>531</v>
      </c>
      <c r="BF5" t="s">
        <v>375</v>
      </c>
      <c r="BG5" t="s">
        <v>302</v>
      </c>
      <c r="BH5" t="s">
        <v>1248</v>
      </c>
      <c r="BK5" t="s">
        <v>594</v>
      </c>
      <c r="BM5" t="s">
        <v>1116</v>
      </c>
      <c r="BP5" t="s">
        <v>312</v>
      </c>
    </row>
    <row r="6" spans="1:69" x14ac:dyDescent="0.25">
      <c r="B6" s="4" t="s">
        <v>503</v>
      </c>
      <c r="C6" t="s">
        <v>402</v>
      </c>
      <c r="D6" t="s">
        <v>1048</v>
      </c>
      <c r="F6" t="s">
        <v>292</v>
      </c>
      <c r="I6" t="s">
        <v>606</v>
      </c>
      <c r="L6" t="s">
        <v>657</v>
      </c>
      <c r="R6" t="s">
        <v>966</v>
      </c>
      <c r="S6" t="s">
        <v>1016</v>
      </c>
      <c r="V6" t="s">
        <v>577</v>
      </c>
      <c r="W6" t="s">
        <v>1082</v>
      </c>
      <c r="X6" t="s">
        <v>715</v>
      </c>
      <c r="Y6" t="s">
        <v>1184</v>
      </c>
      <c r="Z6" t="s">
        <v>1019</v>
      </c>
      <c r="AA6" t="s">
        <v>1403</v>
      </c>
      <c r="AB6" t="s">
        <v>797</v>
      </c>
      <c r="AF6" t="s">
        <v>1243</v>
      </c>
      <c r="AG6" t="s">
        <v>447</v>
      </c>
      <c r="AH6" t="s">
        <v>755</v>
      </c>
      <c r="AI6" t="s">
        <v>338</v>
      </c>
      <c r="AJ6" t="s">
        <v>399</v>
      </c>
      <c r="AM6" t="s">
        <v>1041</v>
      </c>
      <c r="AN6" t="s">
        <v>920</v>
      </c>
      <c r="AP6" t="s">
        <v>1360</v>
      </c>
      <c r="AQ6" t="s">
        <v>884</v>
      </c>
      <c r="AT6" t="s">
        <v>1223</v>
      </c>
      <c r="AV6" t="s">
        <v>709</v>
      </c>
      <c r="AX6" t="s">
        <v>1388</v>
      </c>
      <c r="AY6" t="s">
        <v>1358</v>
      </c>
      <c r="BB6" t="s">
        <v>1038</v>
      </c>
      <c r="BD6" t="s">
        <v>482</v>
      </c>
      <c r="BE6" t="s">
        <v>608</v>
      </c>
      <c r="BF6" t="s">
        <v>843</v>
      </c>
      <c r="BG6" t="s">
        <v>384</v>
      </c>
      <c r="BH6" t="s">
        <v>1423</v>
      </c>
      <c r="BK6" t="s">
        <v>612</v>
      </c>
      <c r="BM6" t="s">
        <v>1250</v>
      </c>
      <c r="BP6" t="s">
        <v>366</v>
      </c>
    </row>
    <row r="7" spans="1:69" x14ac:dyDescent="0.25">
      <c r="B7" s="4" t="s">
        <v>696</v>
      </c>
      <c r="C7" t="s">
        <v>439</v>
      </c>
      <c r="D7" t="s">
        <v>1292</v>
      </c>
      <c r="F7" t="s">
        <v>295</v>
      </c>
      <c r="I7" t="s">
        <v>621</v>
      </c>
      <c r="L7" t="s">
        <v>664</v>
      </c>
      <c r="R7" t="s">
        <v>985</v>
      </c>
      <c r="S7" t="s">
        <v>1055</v>
      </c>
      <c r="V7" t="s">
        <v>579</v>
      </c>
      <c r="W7" t="s">
        <v>1304</v>
      </c>
      <c r="X7" t="s">
        <v>734</v>
      </c>
      <c r="Y7" t="s">
        <v>1302</v>
      </c>
      <c r="Z7" t="s">
        <v>1028</v>
      </c>
      <c r="AA7" t="s">
        <v>1406</v>
      </c>
      <c r="AB7" t="s">
        <v>814</v>
      </c>
      <c r="AF7" t="s">
        <v>1309</v>
      </c>
      <c r="AG7" t="s">
        <v>450</v>
      </c>
      <c r="AH7" t="s">
        <v>850</v>
      </c>
      <c r="AI7" t="s">
        <v>368</v>
      </c>
      <c r="AJ7" t="s">
        <v>425</v>
      </c>
      <c r="AM7" t="s">
        <v>1140</v>
      </c>
      <c r="AN7" t="s">
        <v>943</v>
      </c>
      <c r="AQ7" t="s">
        <v>973</v>
      </c>
      <c r="AV7" t="s">
        <v>722</v>
      </c>
      <c r="BD7" t="s">
        <v>617</v>
      </c>
      <c r="BE7" t="s">
        <v>740</v>
      </c>
      <c r="BF7" t="s">
        <v>907</v>
      </c>
      <c r="BG7" t="s">
        <v>390</v>
      </c>
      <c r="BH7" t="s">
        <v>1447</v>
      </c>
      <c r="BK7" t="s">
        <v>619</v>
      </c>
      <c r="BM7" t="s">
        <v>1428</v>
      </c>
      <c r="BP7" t="s">
        <v>529</v>
      </c>
    </row>
    <row r="8" spans="1:69" x14ac:dyDescent="0.25">
      <c r="B8" s="4" t="s">
        <v>825</v>
      </c>
      <c r="C8" t="s">
        <v>488</v>
      </c>
      <c r="F8" t="s">
        <v>371</v>
      </c>
      <c r="I8" t="s">
        <v>633</v>
      </c>
      <c r="L8" t="s">
        <v>1069</v>
      </c>
      <c r="R8" t="s">
        <v>999</v>
      </c>
      <c r="S8" t="s">
        <v>1182</v>
      </c>
      <c r="V8" t="s">
        <v>855</v>
      </c>
      <c r="X8" t="s">
        <v>753</v>
      </c>
      <c r="Y8" t="s">
        <v>1317</v>
      </c>
      <c r="Z8" t="s">
        <v>1134</v>
      </c>
      <c r="AB8" t="s">
        <v>878</v>
      </c>
      <c r="AG8" t="s">
        <v>466</v>
      </c>
      <c r="AH8" t="s">
        <v>1209</v>
      </c>
      <c r="AI8" t="s">
        <v>517</v>
      </c>
      <c r="AJ8" t="s">
        <v>463</v>
      </c>
      <c r="AM8" t="s">
        <v>1142</v>
      </c>
      <c r="AN8" t="s">
        <v>1089</v>
      </c>
      <c r="AV8" t="s">
        <v>765</v>
      </c>
      <c r="BD8" t="s">
        <v>682</v>
      </c>
      <c r="BE8" t="s">
        <v>758</v>
      </c>
      <c r="BF8" t="s">
        <v>925</v>
      </c>
      <c r="BG8" t="s">
        <v>627</v>
      </c>
      <c r="BK8" t="s">
        <v>713</v>
      </c>
      <c r="BP8" t="s">
        <v>569</v>
      </c>
    </row>
    <row r="9" spans="1:69" x14ac:dyDescent="0.25">
      <c r="B9" s="4" t="s">
        <v>887</v>
      </c>
      <c r="C9" t="s">
        <v>610</v>
      </c>
      <c r="F9" t="s">
        <v>457</v>
      </c>
      <c r="I9" t="s">
        <v>699</v>
      </c>
      <c r="L9" t="s">
        <v>1077</v>
      </c>
      <c r="R9" t="s">
        <v>1092</v>
      </c>
      <c r="S9" t="s">
        <v>1266</v>
      </c>
      <c r="V9" t="s">
        <v>1064</v>
      </c>
      <c r="X9" t="s">
        <v>808</v>
      </c>
      <c r="Y9" t="s">
        <v>1354</v>
      </c>
      <c r="AB9" t="s">
        <v>893</v>
      </c>
      <c r="AG9" t="s">
        <v>507</v>
      </c>
      <c r="AH9" t="s">
        <v>1393</v>
      </c>
      <c r="AI9" t="s">
        <v>549</v>
      </c>
      <c r="AJ9" t="s">
        <v>555</v>
      </c>
      <c r="AM9" t="s">
        <v>1463</v>
      </c>
      <c r="AN9" t="s">
        <v>1201</v>
      </c>
      <c r="AV9" t="s">
        <v>835</v>
      </c>
      <c r="BD9" t="s">
        <v>694</v>
      </c>
      <c r="BE9" t="s">
        <v>847</v>
      </c>
      <c r="BF9" t="s">
        <v>1005</v>
      </c>
      <c r="BG9" t="s">
        <v>1011</v>
      </c>
      <c r="BK9" t="s">
        <v>858</v>
      </c>
      <c r="BP9" t="s">
        <v>603</v>
      </c>
    </row>
    <row r="10" spans="1:69" x14ac:dyDescent="0.25">
      <c r="B10" s="4" t="s">
        <v>896</v>
      </c>
      <c r="C10" t="s">
        <v>727</v>
      </c>
      <c r="F10" t="s">
        <v>468</v>
      </c>
      <c r="I10" t="s">
        <v>1160</v>
      </c>
      <c r="L10" t="s">
        <v>1144</v>
      </c>
      <c r="R10" t="s">
        <v>1233</v>
      </c>
      <c r="S10" t="s">
        <v>1276</v>
      </c>
      <c r="V10" t="s">
        <v>1067</v>
      </c>
      <c r="X10" t="s">
        <v>918</v>
      </c>
      <c r="Y10" t="s">
        <v>1356</v>
      </c>
      <c r="AB10" t="s">
        <v>913</v>
      </c>
      <c r="AG10" t="s">
        <v>510</v>
      </c>
      <c r="AI10" t="s">
        <v>564</v>
      </c>
      <c r="AJ10" t="s">
        <v>636</v>
      </c>
      <c r="AN10" t="s">
        <v>1225</v>
      </c>
      <c r="AV10" t="s">
        <v>841</v>
      </c>
      <c r="BD10" t="s">
        <v>702</v>
      </c>
      <c r="BE10" t="s">
        <v>1125</v>
      </c>
      <c r="BF10" t="s">
        <v>1008</v>
      </c>
      <c r="BG10" t="s">
        <v>1111</v>
      </c>
      <c r="BK10" t="s">
        <v>950</v>
      </c>
      <c r="BP10" t="s">
        <v>648</v>
      </c>
    </row>
    <row r="11" spans="1:69" x14ac:dyDescent="0.25">
      <c r="B11" s="4" t="s">
        <v>953</v>
      </c>
      <c r="C11" t="s">
        <v>760</v>
      </c>
      <c r="F11" t="s">
        <v>660</v>
      </c>
      <c r="I11" t="s">
        <v>1178</v>
      </c>
      <c r="L11" t="s">
        <v>1150</v>
      </c>
      <c r="R11" t="s">
        <v>1279</v>
      </c>
      <c r="S11" t="s">
        <v>1433</v>
      </c>
      <c r="V11" t="s">
        <v>1107</v>
      </c>
      <c r="X11" t="s">
        <v>947</v>
      </c>
      <c r="Y11" t="s">
        <v>1377</v>
      </c>
      <c r="AB11" t="s">
        <v>982</v>
      </c>
      <c r="AG11" t="s">
        <v>567</v>
      </c>
      <c r="AI11" t="s">
        <v>624</v>
      </c>
      <c r="AJ11" t="s">
        <v>671</v>
      </c>
      <c r="AN11" t="s">
        <v>1313</v>
      </c>
      <c r="AV11" t="s">
        <v>1114</v>
      </c>
      <c r="BD11" t="s">
        <v>860</v>
      </c>
      <c r="BF11" t="s">
        <v>1100</v>
      </c>
      <c r="BG11" t="s">
        <v>1205</v>
      </c>
      <c r="BK11" t="s">
        <v>1025</v>
      </c>
      <c r="BP11" t="s">
        <v>650</v>
      </c>
    </row>
    <row r="12" spans="1:69" x14ac:dyDescent="0.25">
      <c r="B12" s="4" t="s">
        <v>1154</v>
      </c>
      <c r="C12" t="s">
        <v>845</v>
      </c>
      <c r="F12" t="s">
        <v>779</v>
      </c>
      <c r="I12" t="s">
        <v>1270</v>
      </c>
      <c r="L12" t="s">
        <v>1240</v>
      </c>
      <c r="R12" t="s">
        <v>1440</v>
      </c>
      <c r="V12" t="s">
        <v>1246</v>
      </c>
      <c r="X12" t="s">
        <v>1102</v>
      </c>
      <c r="AB12" t="s">
        <v>1022</v>
      </c>
      <c r="AG12" t="s">
        <v>640</v>
      </c>
      <c r="AI12" t="s">
        <v>806</v>
      </c>
      <c r="AJ12" t="s">
        <v>784</v>
      </c>
      <c r="AN12" t="s">
        <v>1332</v>
      </c>
      <c r="AV12" t="s">
        <v>1118</v>
      </c>
      <c r="BD12" t="s">
        <v>976</v>
      </c>
      <c r="BF12" t="s">
        <v>1186</v>
      </c>
      <c r="BG12" t="s">
        <v>1290</v>
      </c>
      <c r="BK12" t="s">
        <v>1035</v>
      </c>
      <c r="BP12" t="s">
        <v>652</v>
      </c>
    </row>
    <row r="13" spans="1:69" x14ac:dyDescent="0.25">
      <c r="B13" s="4" t="s">
        <v>1212</v>
      </c>
      <c r="C13" t="s">
        <v>864</v>
      </c>
      <c r="F13" t="s">
        <v>938</v>
      </c>
      <c r="I13" t="s">
        <v>1416</v>
      </c>
      <c r="L13" t="s">
        <v>1253</v>
      </c>
      <c r="R13" t="s">
        <v>1443</v>
      </c>
      <c r="V13" t="s">
        <v>1319</v>
      </c>
      <c r="X13" t="s">
        <v>1231</v>
      </c>
      <c r="AB13" t="s">
        <v>1343</v>
      </c>
      <c r="AG13" t="s">
        <v>642</v>
      </c>
      <c r="AI13" t="s">
        <v>830</v>
      </c>
      <c r="AJ13" t="s">
        <v>794</v>
      </c>
      <c r="AN13" t="s">
        <v>1369</v>
      </c>
      <c r="AV13" t="s">
        <v>1127</v>
      </c>
      <c r="BD13" t="s">
        <v>1050</v>
      </c>
      <c r="BF13" t="s">
        <v>1191</v>
      </c>
      <c r="BG13" t="s">
        <v>1294</v>
      </c>
      <c r="BK13" t="s">
        <v>1158</v>
      </c>
      <c r="BP13" t="s">
        <v>674</v>
      </c>
    </row>
    <row r="14" spans="1:69" x14ac:dyDescent="0.25">
      <c r="B14" s="4" t="s">
        <v>1288</v>
      </c>
      <c r="C14" t="s">
        <v>1031</v>
      </c>
      <c r="F14" t="s">
        <v>945</v>
      </c>
      <c r="L14" t="s">
        <v>1445</v>
      </c>
      <c r="R14" t="s">
        <v>1456</v>
      </c>
      <c r="V14" t="s">
        <v>1339</v>
      </c>
      <c r="X14" t="s">
        <v>1257</v>
      </c>
      <c r="AG14" t="s">
        <v>677</v>
      </c>
      <c r="AI14" t="s">
        <v>862</v>
      </c>
      <c r="AJ14" t="s">
        <v>823</v>
      </c>
      <c r="AV14" t="s">
        <v>1453</v>
      </c>
      <c r="BD14" t="s">
        <v>1052</v>
      </c>
      <c r="BF14" t="s">
        <v>1261</v>
      </c>
      <c r="BK14" t="s">
        <v>1162</v>
      </c>
      <c r="BP14" t="s">
        <v>688</v>
      </c>
    </row>
    <row r="15" spans="1:69" x14ac:dyDescent="0.25">
      <c r="B15" t="s">
        <v>1352</v>
      </c>
      <c r="C15" t="s">
        <v>1033</v>
      </c>
      <c r="F15" t="s">
        <v>968</v>
      </c>
      <c r="V15" t="s">
        <v>1341</v>
      </c>
      <c r="X15" t="s">
        <v>1321</v>
      </c>
      <c r="AG15" t="s">
        <v>800</v>
      </c>
      <c r="AI15" t="s">
        <v>881</v>
      </c>
      <c r="AJ15" t="s">
        <v>922</v>
      </c>
      <c r="BD15" t="s">
        <v>1122</v>
      </c>
      <c r="BF15" t="s">
        <v>1311</v>
      </c>
      <c r="BK15" t="s">
        <v>1255</v>
      </c>
      <c r="BP15" t="s">
        <v>746</v>
      </c>
    </row>
    <row r="16" spans="1:69" x14ac:dyDescent="0.25">
      <c r="B16" t="s">
        <v>1418</v>
      </c>
      <c r="C16" t="s">
        <v>1044</v>
      </c>
      <c r="F16" t="s">
        <v>995</v>
      </c>
      <c r="V16" t="s">
        <v>1395</v>
      </c>
      <c r="X16" t="s">
        <v>1329</v>
      </c>
      <c r="AG16" t="s">
        <v>904</v>
      </c>
      <c r="AI16" t="s">
        <v>990</v>
      </c>
      <c r="AJ16" t="s">
        <v>988</v>
      </c>
      <c r="BD16" t="s">
        <v>1235</v>
      </c>
      <c r="BF16" t="s">
        <v>1449</v>
      </c>
      <c r="BP16" t="s">
        <v>786</v>
      </c>
    </row>
    <row r="17" spans="2:68" x14ac:dyDescent="0.25">
      <c r="B17" t="s">
        <v>1461</v>
      </c>
      <c r="C17" t="s">
        <v>1087</v>
      </c>
      <c r="F17" t="s">
        <v>1165</v>
      </c>
      <c r="V17" t="s">
        <v>1408</v>
      </c>
      <c r="X17" t="s">
        <v>1349</v>
      </c>
      <c r="AG17" t="s">
        <v>961</v>
      </c>
      <c r="AI17" t="s">
        <v>1120</v>
      </c>
      <c r="AJ17" t="s">
        <v>1193</v>
      </c>
      <c r="BD17" t="s">
        <v>1327</v>
      </c>
      <c r="BP17" t="s">
        <v>817</v>
      </c>
    </row>
    <row r="18" spans="2:68" x14ac:dyDescent="0.25">
      <c r="C18" t="s">
        <v>1198</v>
      </c>
      <c r="F18" t="s">
        <v>1170</v>
      </c>
      <c r="AG18" t="s">
        <v>963</v>
      </c>
      <c r="AI18" t="s">
        <v>1137</v>
      </c>
      <c r="AJ18" t="s">
        <v>1362</v>
      </c>
      <c r="BD18" t="s">
        <v>1385</v>
      </c>
      <c r="BP18" t="s">
        <v>870</v>
      </c>
    </row>
    <row r="19" spans="2:68" x14ac:dyDescent="0.25">
      <c r="C19" t="s">
        <v>1274</v>
      </c>
      <c r="F19" t="s">
        <v>1175</v>
      </c>
      <c r="AG19" t="s">
        <v>1059</v>
      </c>
      <c r="AI19" t="s">
        <v>1218</v>
      </c>
      <c r="AJ19" t="s">
        <v>1371</v>
      </c>
      <c r="BD19" t="s">
        <v>1397</v>
      </c>
      <c r="BP19" t="s">
        <v>901</v>
      </c>
    </row>
    <row r="20" spans="2:68" x14ac:dyDescent="0.25">
      <c r="C20" t="s">
        <v>1281</v>
      </c>
      <c r="F20" t="s">
        <v>1324</v>
      </c>
      <c r="AG20" t="s">
        <v>1080</v>
      </c>
      <c r="AI20" t="s">
        <v>1285</v>
      </c>
      <c r="AJ20" t="s">
        <v>1413</v>
      </c>
      <c r="BD20" t="s">
        <v>1425</v>
      </c>
      <c r="BP20" t="s">
        <v>956</v>
      </c>
    </row>
    <row r="21" spans="2:68" x14ac:dyDescent="0.25">
      <c r="C21" t="s">
        <v>1299</v>
      </c>
      <c r="F21" t="s">
        <v>1334</v>
      </c>
      <c r="AG21" t="s">
        <v>1105</v>
      </c>
      <c r="AI21" t="s">
        <v>1315</v>
      </c>
      <c r="BP21" t="s">
        <v>1014</v>
      </c>
    </row>
    <row r="22" spans="2:68" x14ac:dyDescent="0.25">
      <c r="F22" t="s">
        <v>1374</v>
      </c>
      <c r="AG22" t="s">
        <v>1109</v>
      </c>
      <c r="AI22" t="s">
        <v>1381</v>
      </c>
      <c r="BP22" t="s">
        <v>1173</v>
      </c>
    </row>
    <row r="23" spans="2:68" x14ac:dyDescent="0.25">
      <c r="F23" t="s">
        <v>1438</v>
      </c>
      <c r="AG23" t="s">
        <v>1148</v>
      </c>
      <c r="AI23" t="s">
        <v>1458</v>
      </c>
      <c r="BP23" t="s">
        <v>1180</v>
      </c>
    </row>
    <row r="24" spans="2:68" x14ac:dyDescent="0.25">
      <c r="F24" t="s">
        <v>1451</v>
      </c>
      <c r="AG24" t="s">
        <v>1152</v>
      </c>
      <c r="BP24" t="s">
        <v>1203</v>
      </c>
    </row>
    <row r="25" spans="2:68" x14ac:dyDescent="0.25">
      <c r="AG25" t="s">
        <v>1196</v>
      </c>
      <c r="BP25" t="s">
        <v>1207</v>
      </c>
    </row>
    <row r="26" spans="2:68" x14ac:dyDescent="0.25">
      <c r="AG26" t="s">
        <v>1379</v>
      </c>
      <c r="BP26" t="s">
        <v>1237</v>
      </c>
    </row>
    <row r="27" spans="2:68" x14ac:dyDescent="0.25">
      <c r="AG27" t="s">
        <v>1436</v>
      </c>
      <c r="BP27" t="s">
        <v>1259</v>
      </c>
    </row>
    <row r="28" spans="2:68" x14ac:dyDescent="0.25">
      <c r="BP28" t="s">
        <v>1264</v>
      </c>
    </row>
    <row r="29" spans="2:68" x14ac:dyDescent="0.25">
      <c r="BP29" t="s">
        <v>1346</v>
      </c>
    </row>
    <row r="30" spans="2:68" x14ac:dyDescent="0.25">
      <c r="BP30" t="s">
        <v>1383</v>
      </c>
    </row>
    <row r="31" spans="2:68" x14ac:dyDescent="0.25">
      <c r="BP31" t="s">
        <v>1399</v>
      </c>
    </row>
    <row r="32" spans="2:68" x14ac:dyDescent="0.25">
      <c r="BP32" t="s">
        <v>1420</v>
      </c>
    </row>
    <row r="33" spans="68:68" x14ac:dyDescent="0.25">
      <c r="BP33" t="s">
        <v>1430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47F4A-D0A8-4C7C-8A51-15B1109A0DE3}">
  <dimension ref="A1:C159"/>
  <sheetViews>
    <sheetView workbookViewId="0">
      <selection activeCell="B6" sqref="B6"/>
    </sheetView>
  </sheetViews>
  <sheetFormatPr defaultRowHeight="12.5" x14ac:dyDescent="0.25"/>
  <cols>
    <col min="1" max="1" width="40.453125" bestFit="1" customWidth="1"/>
    <col min="2" max="2" width="47.08984375" bestFit="1" customWidth="1"/>
  </cols>
  <sheetData>
    <row r="1" spans="1:3" x14ac:dyDescent="0.25">
      <c r="A1" s="4" t="s">
        <v>1470</v>
      </c>
      <c r="B1" s="4" t="s">
        <v>86</v>
      </c>
      <c r="C1" s="4" t="s">
        <v>85</v>
      </c>
    </row>
    <row r="2" spans="1:3" x14ac:dyDescent="0.25">
      <c r="A2" s="3" t="str">
        <f>Classification_edit[[#This Row],[Sub-Industry2]]</f>
        <v>Oil &amp; Gas Drilling</v>
      </c>
      <c r="B2" t="str">
        <f>Classification_edit[[#This Row],[Industry2]]</f>
        <v>Energy Equipment &amp; Services</v>
      </c>
      <c r="C2" t="str">
        <f>Classification_edit[[#This Row],[Sector2]]</f>
        <v>Energy</v>
      </c>
    </row>
    <row r="3" spans="1:3" x14ac:dyDescent="0.25">
      <c r="A3" s="3" t="str">
        <f>Classification_edit[[#This Row],[Sub-Industry2]]</f>
        <v>Oil &amp; Gas Equipment &amp; Services</v>
      </c>
      <c r="B3" t="str">
        <f>Classification_edit[[#This Row],[Industry2]]</f>
        <v>Energy Equipment &amp; Services</v>
      </c>
      <c r="C3" t="str">
        <f>Classification_edit[[#This Row],[Sector2]]</f>
        <v>Energy</v>
      </c>
    </row>
    <row r="4" spans="1:3" x14ac:dyDescent="0.25">
      <c r="A4" s="3" t="str">
        <f>Classification_edit[[#This Row],[Sub-Industry2]]</f>
        <v>Integrated Oil &amp; Gas</v>
      </c>
      <c r="B4" t="str">
        <f>Classification_edit[[#This Row],[Industry2]]</f>
        <v>Oil, Gas &amp; Consumable Fuels</v>
      </c>
      <c r="C4" t="str">
        <f>Classification_edit[[#This Row],[Sector2]]</f>
        <v>Energy</v>
      </c>
    </row>
    <row r="5" spans="1:3" x14ac:dyDescent="0.25">
      <c r="A5" s="3" t="str">
        <f>Classification_edit[[#This Row],[Sub-Industry2]]</f>
        <v>Oil &amp; Gas Exploration &amp; Production</v>
      </c>
      <c r="B5" t="str">
        <f>Classification_edit[[#This Row],[Industry2]]</f>
        <v>Oil, Gas &amp; Consumable Fuels</v>
      </c>
      <c r="C5" t="str">
        <f>Classification_edit[[#This Row],[Sector2]]</f>
        <v>Energy</v>
      </c>
    </row>
    <row r="6" spans="1:3" x14ac:dyDescent="0.25">
      <c r="A6" s="3" t="str">
        <f>Classification_edit[[#This Row],[Sub-Industry2]]</f>
        <v>Oil &amp; Gas Refining &amp; Marketing</v>
      </c>
      <c r="B6" t="str">
        <f>Classification_edit[[#This Row],[Industry2]]</f>
        <v>Oil, Gas &amp; Consumable Fuels</v>
      </c>
      <c r="C6" t="str">
        <f>Classification_edit[[#This Row],[Sector2]]</f>
        <v>Energy</v>
      </c>
    </row>
    <row r="7" spans="1:3" x14ac:dyDescent="0.25">
      <c r="A7" s="3" t="str">
        <f>Classification_edit[[#This Row],[Sub-Industry2]]</f>
        <v>Oil &amp; Gas Storage &amp; Transportation</v>
      </c>
      <c r="B7" t="str">
        <f>Classification_edit[[#This Row],[Industry2]]</f>
        <v>Oil, Gas &amp; Consumable Fuels</v>
      </c>
      <c r="C7" t="str">
        <f>Classification_edit[[#This Row],[Sector2]]</f>
        <v>Energy</v>
      </c>
    </row>
    <row r="8" spans="1:3" x14ac:dyDescent="0.25">
      <c r="A8" s="3" t="str">
        <f>Classification_edit[[#This Row],[Sub-Industry2]]</f>
        <v>Coal &amp; Consumable Fuels</v>
      </c>
      <c r="B8" t="str">
        <f>Classification_edit[[#This Row],[Industry2]]</f>
        <v>Oil, Gas &amp; Consumable Fuels</v>
      </c>
      <c r="C8" t="str">
        <f>Classification_edit[[#This Row],[Sector2]]</f>
        <v>Energy</v>
      </c>
    </row>
    <row r="9" spans="1:3" x14ac:dyDescent="0.25">
      <c r="A9" s="3">
        <f>Classification_edit[[#This Row],[Sub-Industry2]]</f>
        <v>0</v>
      </c>
      <c r="B9">
        <f>Classification_edit[[#This Row],[Industry2]]</f>
        <v>0</v>
      </c>
      <c r="C9" t="str">
        <f>Classification_edit[[#This Row],[Sector2]]</f>
        <v>Materials</v>
      </c>
    </row>
    <row r="10" spans="1:3" x14ac:dyDescent="0.25">
      <c r="A10" s="3" t="str">
        <f>Classification_edit[[#This Row],[Sub-Industry2]]</f>
        <v>Commodity Chemicals</v>
      </c>
      <c r="B10" t="str">
        <f>Classification_edit[[#This Row],[Industry2]]</f>
        <v>Chemicals</v>
      </c>
      <c r="C10" t="str">
        <f>Classification_edit[[#This Row],[Sector2]]</f>
        <v>Materials</v>
      </c>
    </row>
    <row r="11" spans="1:3" x14ac:dyDescent="0.25">
      <c r="A11" s="3" t="str">
        <f>Classification_edit[[#This Row],[Sub-Industry2]]</f>
        <v>Diversified Chemicals</v>
      </c>
      <c r="B11" t="str">
        <f>Classification_edit[[#This Row],[Industry2]]</f>
        <v>Chemicals</v>
      </c>
      <c r="C11" t="str">
        <f>Classification_edit[[#This Row],[Sector2]]</f>
        <v>Materials</v>
      </c>
    </row>
    <row r="12" spans="1:3" x14ac:dyDescent="0.25">
      <c r="A12" s="3" t="str">
        <f>Classification_edit[[#This Row],[Sub-Industry2]]</f>
        <v>Fertilizers &amp; Agricultural Chemicals</v>
      </c>
      <c r="B12" t="str">
        <f>Classification_edit[[#This Row],[Industry2]]</f>
        <v>Chemicals</v>
      </c>
      <c r="C12" t="str">
        <f>Classification_edit[[#This Row],[Sector2]]</f>
        <v>Materials</v>
      </c>
    </row>
    <row r="13" spans="1:3" x14ac:dyDescent="0.25">
      <c r="A13" s="3" t="str">
        <f>Classification_edit[[#This Row],[Sub-Industry2]]</f>
        <v>Industrial Gases</v>
      </c>
      <c r="B13" t="str">
        <f>Classification_edit[[#This Row],[Industry2]]</f>
        <v>Chemicals</v>
      </c>
      <c r="C13" t="str">
        <f>Classification_edit[[#This Row],[Sector2]]</f>
        <v>Materials</v>
      </c>
    </row>
    <row r="14" spans="1:3" x14ac:dyDescent="0.25">
      <c r="A14" s="3" t="str">
        <f>Classification_edit[[#This Row],[Sub-Industry2]]</f>
        <v>Specialty Chemicals</v>
      </c>
      <c r="B14" t="str">
        <f>Classification_edit[[#This Row],[Industry2]]</f>
        <v>Chemicals</v>
      </c>
      <c r="C14" t="str">
        <f>Classification_edit[[#This Row],[Sector2]]</f>
        <v>Materials</v>
      </c>
    </row>
    <row r="15" spans="1:3" x14ac:dyDescent="0.25">
      <c r="A15" s="3" t="str">
        <f>Classification_edit[[#This Row],[Sub-Industry2]]</f>
        <v>Construction Materials</v>
      </c>
      <c r="B15" t="str">
        <f>Classification_edit[[#This Row],[Industry2]]</f>
        <v>Construction Materials</v>
      </c>
      <c r="C15" t="str">
        <f>Classification_edit[[#This Row],[Sector2]]</f>
        <v>Materials</v>
      </c>
    </row>
    <row r="16" spans="1:3" x14ac:dyDescent="0.25">
      <c r="A16" s="3" t="str">
        <f>Classification_edit[[#This Row],[Sub-Industry2]]</f>
        <v>Metal &amp; Glass Containers</v>
      </c>
      <c r="B16" t="str">
        <f>Classification_edit[[#This Row],[Industry2]]</f>
        <v>Containers &amp; Packaging</v>
      </c>
      <c r="C16" t="str">
        <f>Classification_edit[[#This Row],[Sector2]]</f>
        <v>Materials</v>
      </c>
    </row>
    <row r="17" spans="1:3" x14ac:dyDescent="0.25">
      <c r="A17" s="3" t="str">
        <f>Classification_edit[[#This Row],[Sub-Industry2]]</f>
        <v>Paper Packaging</v>
      </c>
      <c r="B17" t="str">
        <f>Classification_edit[[#This Row],[Industry2]]</f>
        <v>Containers &amp; Packaging</v>
      </c>
      <c r="C17" t="str">
        <f>Classification_edit[[#This Row],[Sector2]]</f>
        <v>Materials</v>
      </c>
    </row>
    <row r="18" spans="1:3" x14ac:dyDescent="0.25">
      <c r="A18" s="3" t="str">
        <f>Classification_edit[[#This Row],[Sub-Industry2]]</f>
        <v>Aluminum</v>
      </c>
      <c r="B18" t="str">
        <f>Classification_edit[[#This Row],[Industry2]]</f>
        <v>Metals &amp; Mining</v>
      </c>
      <c r="C18" t="str">
        <f>Classification_edit[[#This Row],[Sector2]]</f>
        <v>Materials</v>
      </c>
    </row>
    <row r="19" spans="1:3" x14ac:dyDescent="0.25">
      <c r="A19" s="3" t="str">
        <f>Classification_edit[[#This Row],[Sub-Industry2]]</f>
        <v>Diversified Metals &amp; Mining</v>
      </c>
      <c r="B19" t="str">
        <f>Classification_edit[[#This Row],[Industry2]]</f>
        <v>Metals &amp; Mining</v>
      </c>
      <c r="C19" t="str">
        <f>Classification_edit[[#This Row],[Sector2]]</f>
        <v>Materials</v>
      </c>
    </row>
    <row r="20" spans="1:3" x14ac:dyDescent="0.25">
      <c r="A20" s="3" t="str">
        <f>Classification_edit[[#This Row],[Sub-Industry2]]</f>
        <v>Copper</v>
      </c>
      <c r="B20" t="str">
        <f>Classification_edit[[#This Row],[Industry2]]</f>
        <v>Metals &amp; Mining</v>
      </c>
      <c r="C20" t="str">
        <f>Classification_edit[[#This Row],[Sector2]]</f>
        <v>Materials</v>
      </c>
    </row>
    <row r="21" spans="1:3" x14ac:dyDescent="0.25">
      <c r="A21" s="3" t="str">
        <f>Classification_edit[[#This Row],[Sub-Industry2]]</f>
        <v>Gold</v>
      </c>
      <c r="B21" t="str">
        <f>Classification_edit[[#This Row],[Industry2]]</f>
        <v>Metals &amp; Mining</v>
      </c>
      <c r="C21" t="str">
        <f>Classification_edit[[#This Row],[Sector2]]</f>
        <v>Materials</v>
      </c>
    </row>
    <row r="22" spans="1:3" x14ac:dyDescent="0.25">
      <c r="A22" s="3" t="str">
        <f>Classification_edit[[#This Row],[Sub-Industry2]]</f>
        <v>Precious Metals &amp; Minerals</v>
      </c>
      <c r="B22" t="str">
        <f>Classification_edit[[#This Row],[Industry2]]</f>
        <v>Metals &amp; Mining</v>
      </c>
      <c r="C22" t="str">
        <f>Classification_edit[[#This Row],[Sector2]]</f>
        <v>Materials</v>
      </c>
    </row>
    <row r="23" spans="1:3" x14ac:dyDescent="0.25">
      <c r="A23" s="3" t="str">
        <f>Classification_edit[[#This Row],[Sub-Industry2]]</f>
        <v>Silver</v>
      </c>
      <c r="B23" t="str">
        <f>Classification_edit[[#This Row],[Industry2]]</f>
        <v>Metals &amp; Mining</v>
      </c>
      <c r="C23" t="str">
        <f>Classification_edit[[#This Row],[Sector2]]</f>
        <v>Materials</v>
      </c>
    </row>
    <row r="24" spans="1:3" x14ac:dyDescent="0.25">
      <c r="A24" s="3" t="str">
        <f>Classification_edit[[#This Row],[Sub-Industry2]]</f>
        <v>Steel</v>
      </c>
      <c r="B24" t="str">
        <f>Classification_edit[[#This Row],[Industry2]]</f>
        <v>Metals &amp; Mining</v>
      </c>
      <c r="C24" t="str">
        <f>Classification_edit[[#This Row],[Sector2]]</f>
        <v>Materials</v>
      </c>
    </row>
    <row r="25" spans="1:3" x14ac:dyDescent="0.25">
      <c r="A25" s="3" t="str">
        <f>Classification_edit[[#This Row],[Sub-Industry2]]</f>
        <v>Forest Products</v>
      </c>
      <c r="B25" t="str">
        <f>Classification_edit[[#This Row],[Industry2]]</f>
        <v>Paper &amp; Forest Products</v>
      </c>
      <c r="C25" t="str">
        <f>Classification_edit[[#This Row],[Sector2]]</f>
        <v>Materials</v>
      </c>
    </row>
    <row r="26" spans="1:3" x14ac:dyDescent="0.25">
      <c r="A26" s="3" t="str">
        <f>Classification_edit[[#This Row],[Sub-Industry2]]</f>
        <v>Paper Products</v>
      </c>
      <c r="B26" t="str">
        <f>Classification_edit[[#This Row],[Industry2]]</f>
        <v>Paper &amp; Forest Products</v>
      </c>
      <c r="C26" t="str">
        <f>Classification_edit[[#This Row],[Sector2]]</f>
        <v>Materials</v>
      </c>
    </row>
    <row r="27" spans="1:3" x14ac:dyDescent="0.25">
      <c r="A27" s="3" t="str">
        <f>Classification_edit[[#This Row],[Sub-Industry2]]</f>
        <v>Aerospace &amp; Defense</v>
      </c>
      <c r="B27" t="str">
        <f>Classification_edit[[#This Row],[Industry2]]</f>
        <v>Aerospace &amp; Defense</v>
      </c>
      <c r="C27" t="str">
        <f>Classification_edit[[#This Row],[Sector2]]</f>
        <v>Industrials</v>
      </c>
    </row>
    <row r="28" spans="1:3" x14ac:dyDescent="0.25">
      <c r="A28" s="3" t="str">
        <f>Classification_edit[[#This Row],[Sub-Industry2]]</f>
        <v>Building Products</v>
      </c>
      <c r="B28" t="str">
        <f>Classification_edit[[#This Row],[Industry2]]</f>
        <v>Building Products</v>
      </c>
      <c r="C28" t="str">
        <f>Classification_edit[[#This Row],[Sector2]]</f>
        <v>Industrials</v>
      </c>
    </row>
    <row r="29" spans="1:3" x14ac:dyDescent="0.25">
      <c r="A29" s="3" t="str">
        <f>Classification_edit[[#This Row],[Sub-Industry2]]</f>
        <v>Construction &amp; Engineering</v>
      </c>
      <c r="B29" t="str">
        <f>Classification_edit[[#This Row],[Industry2]]</f>
        <v>Construction &amp; Engineering</v>
      </c>
      <c r="C29" t="str">
        <f>Classification_edit[[#This Row],[Sector2]]</f>
        <v>Industrials</v>
      </c>
    </row>
    <row r="30" spans="1:3" x14ac:dyDescent="0.25">
      <c r="A30" s="3" t="str">
        <f>Classification_edit[[#This Row],[Sub-Industry2]]</f>
        <v>Electrical Components &amp; Equipment</v>
      </c>
      <c r="B30" t="str">
        <f>Classification_edit[[#This Row],[Industry2]]</f>
        <v>Electrical Equipment</v>
      </c>
      <c r="C30" t="str">
        <f>Classification_edit[[#This Row],[Sector2]]</f>
        <v>Industrials</v>
      </c>
    </row>
    <row r="31" spans="1:3" x14ac:dyDescent="0.25">
      <c r="A31" s="3" t="str">
        <f>Classification_edit[[#This Row],[Sub-Industry2]]</f>
        <v>Heavy Electrical Equipment</v>
      </c>
      <c r="B31" t="str">
        <f>Classification_edit[[#This Row],[Industry2]]</f>
        <v>Electrical Equipment</v>
      </c>
      <c r="C31" t="str">
        <f>Classification_edit[[#This Row],[Sector2]]</f>
        <v>Industrials</v>
      </c>
    </row>
    <row r="32" spans="1:3" x14ac:dyDescent="0.25">
      <c r="A32" s="3" t="str">
        <f>Classification_edit[[#This Row],[Sub-Industry2]]</f>
        <v>Industrial Conglomerates</v>
      </c>
      <c r="B32" t="str">
        <f>Classification_edit[[#This Row],[Industry2]]</f>
        <v>Industrial Conglomerates</v>
      </c>
      <c r="C32" t="str">
        <f>Classification_edit[[#This Row],[Sector2]]</f>
        <v>Industrials</v>
      </c>
    </row>
    <row r="33" spans="1:3" x14ac:dyDescent="0.25">
      <c r="A33" s="3" t="str">
        <f>Classification_edit[[#This Row],[Sub-Industry2]]</f>
        <v>Construction Machinery &amp; Heavy Trucks</v>
      </c>
      <c r="B33" t="str">
        <f>Classification_edit[[#This Row],[Industry2]]</f>
        <v>Machinery</v>
      </c>
      <c r="C33" t="str">
        <f>Classification_edit[[#This Row],[Sector2]]</f>
        <v>Industrials</v>
      </c>
    </row>
    <row r="34" spans="1:3" x14ac:dyDescent="0.25">
      <c r="A34" s="3" t="str">
        <f>Classification_edit[[#This Row],[Sub-Industry2]]</f>
        <v>Agricultural &amp; Farm Machinery</v>
      </c>
      <c r="B34" t="str">
        <f>Classification_edit[[#This Row],[Industry2]]</f>
        <v>Machinery</v>
      </c>
      <c r="C34" t="str">
        <f>Classification_edit[[#This Row],[Sector2]]</f>
        <v>Industrials</v>
      </c>
    </row>
    <row r="35" spans="1:3" x14ac:dyDescent="0.25">
      <c r="A35" s="3" t="str">
        <f>Classification_edit[[#This Row],[Sub-Industry2]]</f>
        <v>Industrial Machinery</v>
      </c>
      <c r="B35" t="str">
        <f>Classification_edit[[#This Row],[Industry2]]</f>
        <v>Machinery</v>
      </c>
      <c r="C35" t="str">
        <f>Classification_edit[[#This Row],[Sector2]]</f>
        <v>Industrials</v>
      </c>
    </row>
    <row r="36" spans="1:3" x14ac:dyDescent="0.25">
      <c r="A36" s="3" t="str">
        <f>Classification_edit[[#This Row],[Sub-Industry2]]</f>
        <v>Trading Companies &amp; Distributors</v>
      </c>
      <c r="B36" t="str">
        <f>Classification_edit[[#This Row],[Industry2]]</f>
        <v>Trading Companies &amp; Distributors</v>
      </c>
      <c r="C36" t="str">
        <f>Classification_edit[[#This Row],[Sector2]]</f>
        <v>Industrials</v>
      </c>
    </row>
    <row r="37" spans="1:3" x14ac:dyDescent="0.25">
      <c r="A37" s="3" t="str">
        <f>Classification_edit[[#This Row],[Sub-Industry2]]</f>
        <v>Commercial Printing</v>
      </c>
      <c r="B37" t="str">
        <f>Classification_edit[[#This Row],[Industry2]]</f>
        <v>Commercial Services &amp; Supplies</v>
      </c>
      <c r="C37" t="str">
        <f>Classification_edit[[#This Row],[Sector2]]</f>
        <v>Industrials</v>
      </c>
    </row>
    <row r="38" spans="1:3" x14ac:dyDescent="0.25">
      <c r="A38" s="3" t="str">
        <f>Classification_edit[[#This Row],[Sub-Industry2]]</f>
        <v>Environmental &amp; Facilities Services</v>
      </c>
      <c r="B38" t="str">
        <f>Classification_edit[[#This Row],[Industry2]]</f>
        <v>Commercial Services &amp; Supplies</v>
      </c>
      <c r="C38" t="str">
        <f>Classification_edit[[#This Row],[Sector2]]</f>
        <v>Industrials</v>
      </c>
    </row>
    <row r="39" spans="1:3" x14ac:dyDescent="0.25">
      <c r="A39" s="3" t="str">
        <f>Classification_edit[[#This Row],[Sub-Industry2]]</f>
        <v>Office Services &amp; Supplies</v>
      </c>
      <c r="B39" t="str">
        <f>Classification_edit[[#This Row],[Industry2]]</f>
        <v>Commercial Services &amp; Supplies</v>
      </c>
      <c r="C39" t="str">
        <f>Classification_edit[[#This Row],[Sector2]]</f>
        <v>Industrials</v>
      </c>
    </row>
    <row r="40" spans="1:3" x14ac:dyDescent="0.25">
      <c r="A40" s="3" t="str">
        <f>Classification_edit[[#This Row],[Sub-Industry2]]</f>
        <v>Diversified Support Services</v>
      </c>
      <c r="B40" t="str">
        <f>Classification_edit[[#This Row],[Industry2]]</f>
        <v>Commercial Services &amp; Supplies</v>
      </c>
      <c r="C40" t="str">
        <f>Classification_edit[[#This Row],[Sector2]]</f>
        <v>Industrials</v>
      </c>
    </row>
    <row r="41" spans="1:3" x14ac:dyDescent="0.25">
      <c r="A41" s="3" t="str">
        <f>Classification_edit[[#This Row],[Sub-Industry2]]</f>
        <v>Security &amp; Alarm Services</v>
      </c>
      <c r="B41" t="str">
        <f>Classification_edit[[#This Row],[Industry2]]</f>
        <v>Commercial Services &amp; Supplies</v>
      </c>
      <c r="C41" t="str">
        <f>Classification_edit[[#This Row],[Sector2]]</f>
        <v>Industrials</v>
      </c>
    </row>
    <row r="42" spans="1:3" x14ac:dyDescent="0.25">
      <c r="A42" s="3" t="str">
        <f>Classification_edit[[#This Row],[Sub-Industry2]]</f>
        <v>Human Resource &amp; Employment Services</v>
      </c>
      <c r="B42" t="str">
        <f>Classification_edit[[#This Row],[Industry2]]</f>
        <v>Professional Services</v>
      </c>
      <c r="C42" t="str">
        <f>Classification_edit[[#This Row],[Sector2]]</f>
        <v>Industrials</v>
      </c>
    </row>
    <row r="43" spans="1:3" x14ac:dyDescent="0.25">
      <c r="A43" s="3" t="str">
        <f>Classification_edit[[#This Row],[Sub-Industry2]]</f>
        <v>Research &amp; Consulting Services</v>
      </c>
      <c r="B43" t="str">
        <f>Classification_edit[[#This Row],[Industry2]]</f>
        <v>Professional Services</v>
      </c>
      <c r="C43" t="str">
        <f>Classification_edit[[#This Row],[Sector2]]</f>
        <v>Industrials</v>
      </c>
    </row>
    <row r="44" spans="1:3" x14ac:dyDescent="0.25">
      <c r="A44" s="3" t="str">
        <f>Classification_edit[[#This Row],[Sub-Industry2]]</f>
        <v>Air Freight &amp; Logistics</v>
      </c>
      <c r="B44" t="str">
        <f>Classification_edit[[#This Row],[Industry2]]</f>
        <v>Air Freight &amp; Logistics</v>
      </c>
      <c r="C44" t="str">
        <f>Classification_edit[[#This Row],[Sector2]]</f>
        <v>Industrials</v>
      </c>
    </row>
    <row r="45" spans="1:3" x14ac:dyDescent="0.25">
      <c r="A45" s="3" t="str">
        <f>Classification_edit[[#This Row],[Sub-Industry2]]</f>
        <v>Airlines</v>
      </c>
      <c r="B45" t="str">
        <f>Classification_edit[[#This Row],[Industry2]]</f>
        <v>Airlines</v>
      </c>
      <c r="C45" t="str">
        <f>Classification_edit[[#This Row],[Sector2]]</f>
        <v>Industrials</v>
      </c>
    </row>
    <row r="46" spans="1:3" x14ac:dyDescent="0.25">
      <c r="A46" s="3" t="str">
        <f>Classification_edit[[#This Row],[Sub-Industry2]]</f>
        <v>Marine</v>
      </c>
      <c r="B46" t="str">
        <f>Classification_edit[[#This Row],[Industry2]]</f>
        <v>Marine</v>
      </c>
      <c r="C46" t="str">
        <f>Classification_edit[[#This Row],[Sector2]]</f>
        <v>Industrials</v>
      </c>
    </row>
    <row r="47" spans="1:3" x14ac:dyDescent="0.25">
      <c r="A47" s="3" t="str">
        <f>Classification_edit[[#This Row],[Sub-Industry2]]</f>
        <v>Railroads</v>
      </c>
      <c r="B47" t="str">
        <f>Classification_edit[[#This Row],[Industry2]]</f>
        <v>Road &amp; Rail</v>
      </c>
      <c r="C47" t="str">
        <f>Classification_edit[[#This Row],[Sector2]]</f>
        <v>Industrials</v>
      </c>
    </row>
    <row r="48" spans="1:3" x14ac:dyDescent="0.25">
      <c r="A48" s="3" t="str">
        <f>Classification_edit[[#This Row],[Sub-Industry2]]</f>
        <v>Trucking</v>
      </c>
      <c r="B48" t="str">
        <f>Classification_edit[[#This Row],[Industry2]]</f>
        <v>Road &amp; Rail</v>
      </c>
      <c r="C48" t="str">
        <f>Classification_edit[[#This Row],[Sector2]]</f>
        <v>Industrials</v>
      </c>
    </row>
    <row r="49" spans="1:3" x14ac:dyDescent="0.25">
      <c r="A49" s="3" t="str">
        <f>Classification_edit[[#This Row],[Sub-Industry2]]</f>
        <v>Airport Services</v>
      </c>
      <c r="B49" t="str">
        <f>Classification_edit[[#This Row],[Industry2]]</f>
        <v>Transportation Infrastructure</v>
      </c>
      <c r="C49" t="str">
        <f>Classification_edit[[#This Row],[Sector2]]</f>
        <v>Industrials</v>
      </c>
    </row>
    <row r="50" spans="1:3" x14ac:dyDescent="0.25">
      <c r="A50" s="3" t="str">
        <f>Classification_edit[[#This Row],[Sub-Industry2]]</f>
        <v>Highways &amp; Railtracks</v>
      </c>
      <c r="B50" t="str">
        <f>Classification_edit[[#This Row],[Industry2]]</f>
        <v>Transportation Infrastructure</v>
      </c>
      <c r="C50" t="str">
        <f>Classification_edit[[#This Row],[Sector2]]</f>
        <v>Industrials</v>
      </c>
    </row>
    <row r="51" spans="1:3" x14ac:dyDescent="0.25">
      <c r="A51" s="3" t="str">
        <f>Classification_edit[[#This Row],[Sub-Industry2]]</f>
        <v>Marine Ports &amp; Services</v>
      </c>
      <c r="B51" t="str">
        <f>Classification_edit[[#This Row],[Industry2]]</f>
        <v>Transportation Infrastructure</v>
      </c>
      <c r="C51" t="str">
        <f>Classification_edit[[#This Row],[Sector2]]</f>
        <v>Industrials</v>
      </c>
    </row>
    <row r="52" spans="1:3" x14ac:dyDescent="0.25">
      <c r="A52" s="3" t="str">
        <f>Classification_edit[[#This Row],[Sub-Industry2]]</f>
        <v>Auto Parts &amp; Equipment</v>
      </c>
      <c r="B52" t="str">
        <f>Classification_edit[[#This Row],[Industry2]]</f>
        <v>Auto Components</v>
      </c>
      <c r="C52" t="str">
        <f>Classification_edit[[#This Row],[Sector2]]</f>
        <v>Consumer Discretionary</v>
      </c>
    </row>
    <row r="53" spans="1:3" x14ac:dyDescent="0.25">
      <c r="A53" s="3" t="str">
        <f>Classification_edit[[#This Row],[Sub-Industry2]]</f>
        <v>Tires &amp; Rubber</v>
      </c>
      <c r="B53" t="str">
        <f>Classification_edit[[#This Row],[Industry2]]</f>
        <v>Auto Components</v>
      </c>
      <c r="C53" t="str">
        <f>Classification_edit[[#This Row],[Sector2]]</f>
        <v>Consumer Discretionary</v>
      </c>
    </row>
    <row r="54" spans="1:3" x14ac:dyDescent="0.25">
      <c r="A54" s="3" t="str">
        <f>Classification_edit[[#This Row],[Sub-Industry2]]</f>
        <v>Automobile Manufacturers</v>
      </c>
      <c r="B54" t="str">
        <f>Classification_edit[[#This Row],[Industry2]]</f>
        <v>Automobiles</v>
      </c>
      <c r="C54" t="str">
        <f>Classification_edit[[#This Row],[Sector2]]</f>
        <v>Consumer Discretionary</v>
      </c>
    </row>
    <row r="55" spans="1:3" x14ac:dyDescent="0.25">
      <c r="A55" s="3" t="str">
        <f>Classification_edit[[#This Row],[Sub-Industry2]]</f>
        <v>Motorcycle Manufacturers</v>
      </c>
      <c r="B55" t="str">
        <f>Classification_edit[[#This Row],[Industry2]]</f>
        <v>Automobiles</v>
      </c>
      <c r="C55" t="str">
        <f>Classification_edit[[#This Row],[Sector2]]</f>
        <v>Consumer Discretionary</v>
      </c>
    </row>
    <row r="56" spans="1:3" x14ac:dyDescent="0.25">
      <c r="A56" s="3" t="str">
        <f>Classification_edit[[#This Row],[Sub-Industry2]]</f>
        <v>Consumer Electronics</v>
      </c>
      <c r="B56" t="str">
        <f>Classification_edit[[#This Row],[Industry2]]</f>
        <v>Household Durables</v>
      </c>
      <c r="C56" t="str">
        <f>Classification_edit[[#This Row],[Sector2]]</f>
        <v>Consumer Discretionary</v>
      </c>
    </row>
    <row r="57" spans="1:3" x14ac:dyDescent="0.25">
      <c r="A57" s="3" t="str">
        <f>Classification_edit[[#This Row],[Sub-Industry2]]</f>
        <v>Home Furnishings</v>
      </c>
      <c r="B57" t="str">
        <f>Classification_edit[[#This Row],[Industry2]]</f>
        <v>Household Durables</v>
      </c>
      <c r="C57" t="str">
        <f>Classification_edit[[#This Row],[Sector2]]</f>
        <v>Consumer Discretionary</v>
      </c>
    </row>
    <row r="58" spans="1:3" x14ac:dyDescent="0.25">
      <c r="A58" s="3" t="str">
        <f>Classification_edit[[#This Row],[Sub-Industry2]]</f>
        <v>Homebuilding</v>
      </c>
      <c r="B58" t="str">
        <f>Classification_edit[[#This Row],[Industry2]]</f>
        <v>Household Durables</v>
      </c>
      <c r="C58" t="str">
        <f>Classification_edit[[#This Row],[Sector2]]</f>
        <v>Consumer Discretionary</v>
      </c>
    </row>
    <row r="59" spans="1:3" x14ac:dyDescent="0.25">
      <c r="A59" s="3" t="str">
        <f>Classification_edit[[#This Row],[Sub-Industry2]]</f>
        <v>Household Appliances</v>
      </c>
      <c r="B59" t="str">
        <f>Classification_edit[[#This Row],[Industry2]]</f>
        <v>Household Durables</v>
      </c>
      <c r="C59" t="str">
        <f>Classification_edit[[#This Row],[Sector2]]</f>
        <v>Consumer Discretionary</v>
      </c>
    </row>
    <row r="60" spans="1:3" x14ac:dyDescent="0.25">
      <c r="A60" s="3" t="str">
        <f>Classification_edit[[#This Row],[Sub-Industry2]]</f>
        <v>Housewares &amp; Specialties</v>
      </c>
      <c r="B60" t="str">
        <f>Classification_edit[[#This Row],[Industry2]]</f>
        <v>Household Durables</v>
      </c>
      <c r="C60" t="str">
        <f>Classification_edit[[#This Row],[Sector2]]</f>
        <v>Consumer Discretionary</v>
      </c>
    </row>
    <row r="61" spans="1:3" x14ac:dyDescent="0.25">
      <c r="A61" s="3" t="str">
        <f>Classification_edit[[#This Row],[Sub-Industry2]]</f>
        <v>Leisure Products</v>
      </c>
      <c r="B61" t="str">
        <f>Classification_edit[[#This Row],[Industry2]]</f>
        <v>Leisure Products</v>
      </c>
      <c r="C61" t="str">
        <f>Classification_edit[[#This Row],[Sector2]]</f>
        <v>Consumer Discretionary</v>
      </c>
    </row>
    <row r="62" spans="1:3" x14ac:dyDescent="0.25">
      <c r="A62" s="3" t="str">
        <f>Classification_edit[[#This Row],[Sub-Industry2]]</f>
        <v>Apparel, Accessories &amp; Luxury Goods</v>
      </c>
      <c r="B62" t="str">
        <f>Classification_edit[[#This Row],[Industry2]]</f>
        <v>Textiles, Apparel &amp; Luxury Goods</v>
      </c>
      <c r="C62" t="str">
        <f>Classification_edit[[#This Row],[Sector2]]</f>
        <v>Consumer Discretionary</v>
      </c>
    </row>
    <row r="63" spans="1:3" x14ac:dyDescent="0.25">
      <c r="A63" s="3" t="str">
        <f>Classification_edit[[#This Row],[Sub-Industry2]]</f>
        <v>Footwear</v>
      </c>
      <c r="B63" t="str">
        <f>Classification_edit[[#This Row],[Industry2]]</f>
        <v>Textiles, Apparel &amp; Luxury Goods</v>
      </c>
      <c r="C63" t="str">
        <f>Classification_edit[[#This Row],[Sector2]]</f>
        <v>Consumer Discretionary</v>
      </c>
    </row>
    <row r="64" spans="1:3" x14ac:dyDescent="0.25">
      <c r="A64" s="3" t="str">
        <f>Classification_edit[[#This Row],[Sub-Industry2]]</f>
        <v>Textiles</v>
      </c>
      <c r="B64" t="str">
        <f>Classification_edit[[#This Row],[Industry2]]</f>
        <v>Textiles, Apparel &amp; Luxury Goods</v>
      </c>
      <c r="C64" t="str">
        <f>Classification_edit[[#This Row],[Sector2]]</f>
        <v>Consumer Discretionary</v>
      </c>
    </row>
    <row r="65" spans="1:3" x14ac:dyDescent="0.25">
      <c r="A65" s="3" t="str">
        <f>Classification_edit[[#This Row],[Sub-Industry2]]</f>
        <v>Casinos &amp; Gaming</v>
      </c>
      <c r="B65" t="str">
        <f>Classification_edit[[#This Row],[Industry2]]</f>
        <v>Hotels, Restaurants &amp; Leisure</v>
      </c>
      <c r="C65" t="str">
        <f>Classification_edit[[#This Row],[Sector2]]</f>
        <v>Consumer Discretionary</v>
      </c>
    </row>
    <row r="66" spans="1:3" x14ac:dyDescent="0.25">
      <c r="A66" s="3" t="str">
        <f>Classification_edit[[#This Row],[Sub-Industry2]]</f>
        <v>Hotels, Resorts &amp; Cruise Lines</v>
      </c>
      <c r="B66" t="str">
        <f>Classification_edit[[#This Row],[Industry2]]</f>
        <v>Hotels, Restaurants &amp; Leisure</v>
      </c>
      <c r="C66" t="str">
        <f>Classification_edit[[#This Row],[Sector2]]</f>
        <v>Consumer Discretionary</v>
      </c>
    </row>
    <row r="67" spans="1:3" x14ac:dyDescent="0.25">
      <c r="A67" s="3" t="str">
        <f>Classification_edit[[#This Row],[Sub-Industry2]]</f>
        <v>Leisure Facilities</v>
      </c>
      <c r="B67" t="str">
        <f>Classification_edit[[#This Row],[Industry2]]</f>
        <v>Hotels, Restaurants &amp; Leisure</v>
      </c>
      <c r="C67" t="str">
        <f>Classification_edit[[#This Row],[Sector2]]</f>
        <v>Consumer Discretionary</v>
      </c>
    </row>
    <row r="68" spans="1:3" x14ac:dyDescent="0.25">
      <c r="A68" s="3" t="str">
        <f>Classification_edit[[#This Row],[Sub-Industry2]]</f>
        <v>Restaurants</v>
      </c>
      <c r="B68" t="str">
        <f>Classification_edit[[#This Row],[Industry2]]</f>
        <v>Hotels, Restaurants &amp; Leisure</v>
      </c>
      <c r="C68" t="str">
        <f>Classification_edit[[#This Row],[Sector2]]</f>
        <v>Consumer Discretionary</v>
      </c>
    </row>
    <row r="69" spans="1:3" x14ac:dyDescent="0.25">
      <c r="A69" s="3" t="str">
        <f>Classification_edit[[#This Row],[Sub-Industry2]]</f>
        <v>Education Services</v>
      </c>
      <c r="B69" t="str">
        <f>Classification_edit[[#This Row],[Industry2]]</f>
        <v>Diversified Consumer Services</v>
      </c>
      <c r="C69" t="str">
        <f>Classification_edit[[#This Row],[Sector2]]</f>
        <v>Consumer Discretionary</v>
      </c>
    </row>
    <row r="70" spans="1:3" x14ac:dyDescent="0.25">
      <c r="A70" s="3" t="str">
        <f>Classification_edit[[#This Row],[Sub-Industry2]]</f>
        <v>Specialized Consumer Services</v>
      </c>
      <c r="B70" t="str">
        <f>Classification_edit[[#This Row],[Industry2]]</f>
        <v>Diversified Consumer Services</v>
      </c>
      <c r="C70" t="str">
        <f>Classification_edit[[#This Row],[Sector2]]</f>
        <v>Consumer Discretionary</v>
      </c>
    </row>
    <row r="71" spans="1:3" x14ac:dyDescent="0.25">
      <c r="A71" s="3" t="str">
        <f>Classification_edit[[#This Row],[Sub-Industry2]]</f>
        <v>Advertising</v>
      </c>
      <c r="B71" t="str">
        <f>Classification_edit[[#This Row],[Industry2]]</f>
        <v>Media</v>
      </c>
      <c r="C71" t="str">
        <f>Classification_edit[[#This Row],[Sector2]]</f>
        <v>Consumer Discretionary</v>
      </c>
    </row>
    <row r="72" spans="1:3" x14ac:dyDescent="0.25">
      <c r="A72" s="3" t="str">
        <f>Classification_edit[[#This Row],[Sub-Industry2]]</f>
        <v>Broadcasting</v>
      </c>
      <c r="B72" t="str">
        <f>Classification_edit[[#This Row],[Industry2]]</f>
        <v>Media</v>
      </c>
      <c r="C72" t="str">
        <f>Classification_edit[[#This Row],[Sector2]]</f>
        <v>Consumer Discretionary</v>
      </c>
    </row>
    <row r="73" spans="1:3" x14ac:dyDescent="0.25">
      <c r="A73" s="3" t="str">
        <f>Classification_edit[[#This Row],[Sub-Industry2]]</f>
        <v>Cable &amp; Satellite</v>
      </c>
      <c r="B73" t="str">
        <f>Classification_edit[[#This Row],[Industry2]]</f>
        <v>Media</v>
      </c>
      <c r="C73" t="str">
        <f>Classification_edit[[#This Row],[Sector2]]</f>
        <v>Consumer Discretionary</v>
      </c>
    </row>
    <row r="74" spans="1:3" x14ac:dyDescent="0.25">
      <c r="A74" s="3" t="str">
        <f>Classification_edit[[#This Row],[Sub-Industry2]]</f>
        <v>Movies &amp; Entertainment</v>
      </c>
      <c r="B74" t="str">
        <f>Classification_edit[[#This Row],[Industry2]]</f>
        <v>Media</v>
      </c>
      <c r="C74" t="str">
        <f>Classification_edit[[#This Row],[Sector2]]</f>
        <v>Consumer Discretionary</v>
      </c>
    </row>
    <row r="75" spans="1:3" x14ac:dyDescent="0.25">
      <c r="A75" s="3" t="str">
        <f>Classification_edit[[#This Row],[Sub-Industry2]]</f>
        <v>Publishing</v>
      </c>
      <c r="B75" t="str">
        <f>Classification_edit[[#This Row],[Industry2]]</f>
        <v>Media</v>
      </c>
      <c r="C75" t="str">
        <f>Classification_edit[[#This Row],[Sector2]]</f>
        <v>Consumer Discretionary</v>
      </c>
    </row>
    <row r="76" spans="1:3" x14ac:dyDescent="0.25">
      <c r="A76" s="3" t="str">
        <f>Classification_edit[[#This Row],[Sub-Industry2]]</f>
        <v>Distributors</v>
      </c>
      <c r="B76" t="str">
        <f>Classification_edit[[#This Row],[Industry2]]</f>
        <v>Distributors</v>
      </c>
      <c r="C76" t="str">
        <f>Classification_edit[[#This Row],[Sector2]]</f>
        <v>Consumer Discretionary</v>
      </c>
    </row>
    <row r="77" spans="1:3" x14ac:dyDescent="0.25">
      <c r="A77" s="3" t="str">
        <f>Classification_edit[[#This Row],[Sub-Industry2]]</f>
        <v>Internet &amp; Direct Marketing Retail</v>
      </c>
      <c r="B77" t="str">
        <f>Classification_edit[[#This Row],[Industry2]]</f>
        <v>Internet &amp; Direct Marketing Retail</v>
      </c>
      <c r="C77" t="str">
        <f>Classification_edit[[#This Row],[Sector2]]</f>
        <v>Consumer Discretionary</v>
      </c>
    </row>
    <row r="78" spans="1:3" x14ac:dyDescent="0.25">
      <c r="A78" s="3" t="str">
        <f>Classification_edit[[#This Row],[Sub-Industry2]]</f>
        <v>Department Stores</v>
      </c>
      <c r="B78" t="str">
        <f>Classification_edit[[#This Row],[Industry2]]</f>
        <v>Multiline Retail</v>
      </c>
      <c r="C78" t="str">
        <f>Classification_edit[[#This Row],[Sector2]]</f>
        <v>Consumer Discretionary</v>
      </c>
    </row>
    <row r="79" spans="1:3" x14ac:dyDescent="0.25">
      <c r="A79" s="3" t="str">
        <f>Classification_edit[[#This Row],[Sub-Industry2]]</f>
        <v>General Merchandise Stores</v>
      </c>
      <c r="B79" t="str">
        <f>Classification_edit[[#This Row],[Industry2]]</f>
        <v>Multiline Retail</v>
      </c>
      <c r="C79" t="str">
        <f>Classification_edit[[#This Row],[Sector2]]</f>
        <v>Consumer Discretionary</v>
      </c>
    </row>
    <row r="80" spans="1:3" x14ac:dyDescent="0.25">
      <c r="A80" s="3" t="str">
        <f>Classification_edit[[#This Row],[Sub-Industry2]]</f>
        <v>Apparel Retail</v>
      </c>
      <c r="B80" t="str">
        <f>Classification_edit[[#This Row],[Industry2]]</f>
        <v>Specialty Retail</v>
      </c>
      <c r="C80" t="str">
        <f>Classification_edit[[#This Row],[Sector2]]</f>
        <v>Consumer Discretionary</v>
      </c>
    </row>
    <row r="81" spans="1:3" x14ac:dyDescent="0.25">
      <c r="A81" s="3" t="str">
        <f>Classification_edit[[#This Row],[Sub-Industry2]]</f>
        <v>Computer &amp; Electronics Retail</v>
      </c>
      <c r="B81" t="str">
        <f>Classification_edit[[#This Row],[Industry2]]</f>
        <v>Specialty Retail</v>
      </c>
      <c r="C81" t="str">
        <f>Classification_edit[[#This Row],[Sector2]]</f>
        <v>Consumer Discretionary</v>
      </c>
    </row>
    <row r="82" spans="1:3" x14ac:dyDescent="0.25">
      <c r="A82" s="3" t="str">
        <f>Classification_edit[[#This Row],[Sub-Industry2]]</f>
        <v>Home Improvement Retail</v>
      </c>
      <c r="B82" t="str">
        <f>Classification_edit[[#This Row],[Industry2]]</f>
        <v>Specialty Retail</v>
      </c>
      <c r="C82" t="str">
        <f>Classification_edit[[#This Row],[Sector2]]</f>
        <v>Consumer Discretionary</v>
      </c>
    </row>
    <row r="83" spans="1:3" x14ac:dyDescent="0.25">
      <c r="A83" s="3" t="str">
        <f>Classification_edit[[#This Row],[Sub-Industry2]]</f>
        <v>Specialty Stores</v>
      </c>
      <c r="B83" t="str">
        <f>Classification_edit[[#This Row],[Industry2]]</f>
        <v>Specialty Retail</v>
      </c>
      <c r="C83" t="str">
        <f>Classification_edit[[#This Row],[Sector2]]</f>
        <v>Consumer Discretionary</v>
      </c>
    </row>
    <row r="84" spans="1:3" x14ac:dyDescent="0.25">
      <c r="A84" s="3" t="str">
        <f>Classification_edit[[#This Row],[Sub-Industry2]]</f>
        <v>Automotive Retail</v>
      </c>
      <c r="B84" t="str">
        <f>Classification_edit[[#This Row],[Industry2]]</f>
        <v>Specialty Retail</v>
      </c>
      <c r="C84" t="str">
        <f>Classification_edit[[#This Row],[Sector2]]</f>
        <v>Consumer Discretionary</v>
      </c>
    </row>
    <row r="85" spans="1:3" x14ac:dyDescent="0.25">
      <c r="A85" s="3" t="str">
        <f>Classification_edit[[#This Row],[Sub-Industry2]]</f>
        <v>Homefurnishing Retail</v>
      </c>
      <c r="B85" t="str">
        <f>Classification_edit[[#This Row],[Industry2]]</f>
        <v>Specialty Retail</v>
      </c>
      <c r="C85" t="str">
        <f>Classification_edit[[#This Row],[Sector2]]</f>
        <v>Consumer Discretionary</v>
      </c>
    </row>
    <row r="86" spans="1:3" x14ac:dyDescent="0.25">
      <c r="A86" s="3" t="str">
        <f>Classification_edit[[#This Row],[Sub-Industry2]]</f>
        <v>Drug Retail</v>
      </c>
      <c r="B86" t="str">
        <f>Classification_edit[[#This Row],[Industry2]]</f>
        <v>Food &amp; Staples Retailing</v>
      </c>
      <c r="C86" t="str">
        <f>Classification_edit[[#This Row],[Sector2]]</f>
        <v>Consumer Staples</v>
      </c>
    </row>
    <row r="87" spans="1:3" x14ac:dyDescent="0.25">
      <c r="A87" s="3" t="str">
        <f>Classification_edit[[#This Row],[Sub-Industry2]]</f>
        <v>Food Distributors</v>
      </c>
      <c r="B87" t="str">
        <f>Classification_edit[[#This Row],[Industry2]]</f>
        <v>Food &amp; Staples Retailing</v>
      </c>
      <c r="C87" t="str">
        <f>Classification_edit[[#This Row],[Sector2]]</f>
        <v>Consumer Staples</v>
      </c>
    </row>
    <row r="88" spans="1:3" x14ac:dyDescent="0.25">
      <c r="A88" s="3" t="str">
        <f>Classification_edit[[#This Row],[Sub-Industry2]]</f>
        <v>Food Retail</v>
      </c>
      <c r="B88" t="str">
        <f>Classification_edit[[#This Row],[Industry2]]</f>
        <v>Food &amp; Staples Retailing</v>
      </c>
      <c r="C88" t="str">
        <f>Classification_edit[[#This Row],[Sector2]]</f>
        <v>Consumer Staples</v>
      </c>
    </row>
    <row r="89" spans="1:3" x14ac:dyDescent="0.25">
      <c r="A89" s="3" t="str">
        <f>Classification_edit[[#This Row],[Sub-Industry2]]</f>
        <v>Hypermarkets &amp; Super Centers</v>
      </c>
      <c r="B89" t="str">
        <f>Classification_edit[[#This Row],[Industry2]]</f>
        <v>Food &amp; Staples Retailing</v>
      </c>
      <c r="C89" t="str">
        <f>Classification_edit[[#This Row],[Sector2]]</f>
        <v>Consumer Staples</v>
      </c>
    </row>
    <row r="90" spans="1:3" x14ac:dyDescent="0.25">
      <c r="A90" s="3" t="str">
        <f>Classification_edit[[#This Row],[Sub-Industry2]]</f>
        <v>Brewers</v>
      </c>
      <c r="B90" t="str">
        <f>Classification_edit[[#This Row],[Industry2]]</f>
        <v>Beverages</v>
      </c>
      <c r="C90" t="str">
        <f>Classification_edit[[#This Row],[Sector2]]</f>
        <v>Consumer Staples</v>
      </c>
    </row>
    <row r="91" spans="1:3" x14ac:dyDescent="0.25">
      <c r="A91" s="3" t="str">
        <f>Classification_edit[[#This Row],[Sub-Industry2]]</f>
        <v>Distillers &amp; Vintners</v>
      </c>
      <c r="B91" t="str">
        <f>Classification_edit[[#This Row],[Industry2]]</f>
        <v>Beverages</v>
      </c>
      <c r="C91" t="str">
        <f>Classification_edit[[#This Row],[Sector2]]</f>
        <v>Consumer Staples</v>
      </c>
    </row>
    <row r="92" spans="1:3" x14ac:dyDescent="0.25">
      <c r="A92" s="3" t="str">
        <f>Classification_edit[[#This Row],[Sub-Industry2]]</f>
        <v>Soft Drinks</v>
      </c>
      <c r="B92" t="str">
        <f>Classification_edit[[#This Row],[Industry2]]</f>
        <v>Beverages</v>
      </c>
      <c r="C92" t="str">
        <f>Classification_edit[[#This Row],[Sector2]]</f>
        <v>Consumer Staples</v>
      </c>
    </row>
    <row r="93" spans="1:3" x14ac:dyDescent="0.25">
      <c r="A93" s="3" t="str">
        <f>Classification_edit[[#This Row],[Sub-Industry2]]</f>
        <v>Agricultural Products</v>
      </c>
      <c r="B93" t="str">
        <f>Classification_edit[[#This Row],[Industry2]]</f>
        <v>Food Products</v>
      </c>
      <c r="C93" t="str">
        <f>Classification_edit[[#This Row],[Sector2]]</f>
        <v>Consumer Staples</v>
      </c>
    </row>
    <row r="94" spans="1:3" x14ac:dyDescent="0.25">
      <c r="A94" s="3" t="str">
        <f>Classification_edit[[#This Row],[Sub-Industry2]]</f>
        <v>Packaged Foods &amp; Meats</v>
      </c>
      <c r="B94" t="str">
        <f>Classification_edit[[#This Row],[Industry2]]</f>
        <v>Food Products</v>
      </c>
      <c r="C94" t="str">
        <f>Classification_edit[[#This Row],[Sector2]]</f>
        <v>Consumer Staples</v>
      </c>
    </row>
    <row r="95" spans="1:3" x14ac:dyDescent="0.25">
      <c r="A95" s="3" t="str">
        <f>Classification_edit[[#This Row],[Sub-Industry2]]</f>
        <v>Tobacco</v>
      </c>
      <c r="B95" t="str">
        <f>Classification_edit[[#This Row],[Industry2]]</f>
        <v>Tobacco</v>
      </c>
      <c r="C95" t="str">
        <f>Classification_edit[[#This Row],[Sector2]]</f>
        <v>Consumer Staples</v>
      </c>
    </row>
    <row r="96" spans="1:3" x14ac:dyDescent="0.25">
      <c r="A96" s="3" t="str">
        <f>Classification_edit[[#This Row],[Sub-Industry2]]</f>
        <v>Household Products</v>
      </c>
      <c r="B96" t="str">
        <f>Classification_edit[[#This Row],[Industry2]]</f>
        <v>Household Products</v>
      </c>
      <c r="C96" t="str">
        <f>Classification_edit[[#This Row],[Sector2]]</f>
        <v>Consumer Staples</v>
      </c>
    </row>
    <row r="97" spans="1:3" x14ac:dyDescent="0.25">
      <c r="A97" s="3" t="str">
        <f>Classification_edit[[#This Row],[Sub-Industry2]]</f>
        <v>Personal Products</v>
      </c>
      <c r="B97" t="str">
        <f>Classification_edit[[#This Row],[Industry2]]</f>
        <v>Personal Products</v>
      </c>
      <c r="C97" t="str">
        <f>Classification_edit[[#This Row],[Sector2]]</f>
        <v>Consumer Staples</v>
      </c>
    </row>
    <row r="98" spans="1:3" x14ac:dyDescent="0.25">
      <c r="A98" s="3" t="str">
        <f>Classification_edit[[#This Row],[Sub-Industry2]]</f>
        <v>Health Care Equipment</v>
      </c>
      <c r="B98" t="str">
        <f>Classification_edit[[#This Row],[Industry2]]</f>
        <v>Health Care Equipment &amp; Supplies</v>
      </c>
      <c r="C98" t="str">
        <f>Classification_edit[[#This Row],[Sector2]]</f>
        <v>Health Care</v>
      </c>
    </row>
    <row r="99" spans="1:3" x14ac:dyDescent="0.25">
      <c r="A99" s="3" t="str">
        <f>Classification_edit[[#This Row],[Sub-Industry2]]</f>
        <v>Health Care Supplies</v>
      </c>
      <c r="B99" t="str">
        <f>Classification_edit[[#This Row],[Industry2]]</f>
        <v>Health Care Equipment &amp; Supplies</v>
      </c>
      <c r="C99" t="str">
        <f>Classification_edit[[#This Row],[Sector2]]</f>
        <v>Health Care</v>
      </c>
    </row>
    <row r="100" spans="1:3" x14ac:dyDescent="0.25">
      <c r="A100" s="3" t="str">
        <f>Classification_edit[[#This Row],[Sub-Industry2]]</f>
        <v>Health Care Distributors</v>
      </c>
      <c r="B100" t="str">
        <f>Classification_edit[[#This Row],[Industry2]]</f>
        <v>Health Care Providers &amp; Services</v>
      </c>
      <c r="C100" t="str">
        <f>Classification_edit[[#This Row],[Sector2]]</f>
        <v>Health Care</v>
      </c>
    </row>
    <row r="101" spans="1:3" x14ac:dyDescent="0.25">
      <c r="A101" s="3" t="str">
        <f>Classification_edit[[#This Row],[Sub-Industry2]]</f>
        <v>Health Care Services</v>
      </c>
      <c r="B101" t="str">
        <f>Classification_edit[[#This Row],[Industry2]]</f>
        <v>Health Care Providers &amp; Services</v>
      </c>
      <c r="C101" t="str">
        <f>Classification_edit[[#This Row],[Sector2]]</f>
        <v>Health Care</v>
      </c>
    </row>
    <row r="102" spans="1:3" x14ac:dyDescent="0.25">
      <c r="A102" s="3" t="str">
        <f>Classification_edit[[#This Row],[Sub-Industry2]]</f>
        <v>Health Care Facilities</v>
      </c>
      <c r="B102" t="str">
        <f>Classification_edit[[#This Row],[Industry2]]</f>
        <v>Health Care Providers &amp; Services</v>
      </c>
      <c r="C102" t="str">
        <f>Classification_edit[[#This Row],[Sector2]]</f>
        <v>Health Care</v>
      </c>
    </row>
    <row r="103" spans="1:3" x14ac:dyDescent="0.25">
      <c r="A103" s="3" t="str">
        <f>Classification_edit[[#This Row],[Sub-Industry2]]</f>
        <v>Managed Health Care</v>
      </c>
      <c r="B103" t="str">
        <f>Classification_edit[[#This Row],[Industry2]]</f>
        <v>Health Care Providers &amp; Services</v>
      </c>
      <c r="C103" t="str">
        <f>Classification_edit[[#This Row],[Sector2]]</f>
        <v>Health Care</v>
      </c>
    </row>
    <row r="104" spans="1:3" x14ac:dyDescent="0.25">
      <c r="A104" s="3" t="str">
        <f>Classification_edit[[#This Row],[Sub-Industry2]]</f>
        <v>Health Care Technology</v>
      </c>
      <c r="B104" t="str">
        <f>Classification_edit[[#This Row],[Industry2]]</f>
        <v>Health Care Technology</v>
      </c>
      <c r="C104" t="str">
        <f>Classification_edit[[#This Row],[Sector2]]</f>
        <v>Health Care</v>
      </c>
    </row>
    <row r="105" spans="1:3" x14ac:dyDescent="0.25">
      <c r="A105" s="3" t="str">
        <f>Classification_edit[[#This Row],[Sub-Industry2]]</f>
        <v>Biotechnology</v>
      </c>
      <c r="B105" t="str">
        <f>Classification_edit[[#This Row],[Industry2]]</f>
        <v>Biotechnology</v>
      </c>
      <c r="C105" t="str">
        <f>Classification_edit[[#This Row],[Sector2]]</f>
        <v>Health Care</v>
      </c>
    </row>
    <row r="106" spans="1:3" x14ac:dyDescent="0.25">
      <c r="A106" s="3" t="str">
        <f>Classification_edit[[#This Row],[Sub-Industry2]]</f>
        <v>Pharmaceuticals</v>
      </c>
      <c r="B106" t="str">
        <f>Classification_edit[[#This Row],[Industry2]]</f>
        <v>Pharmaceuticals</v>
      </c>
      <c r="C106" t="str">
        <f>Classification_edit[[#This Row],[Sector2]]</f>
        <v>Health Care</v>
      </c>
    </row>
    <row r="107" spans="1:3" x14ac:dyDescent="0.25">
      <c r="A107" s="3" t="str">
        <f>Classification_edit[[#This Row],[Sub-Industry2]]</f>
        <v>Life Sciences Tools &amp; Services</v>
      </c>
      <c r="B107" t="str">
        <f>Classification_edit[[#This Row],[Industry2]]</f>
        <v>Life Sciences Tools &amp; Services</v>
      </c>
      <c r="C107" t="str">
        <f>Classification_edit[[#This Row],[Sector2]]</f>
        <v>Health Care</v>
      </c>
    </row>
    <row r="108" spans="1:3" x14ac:dyDescent="0.25">
      <c r="A108" s="3" t="str">
        <f>Classification_edit[[#This Row],[Sub-Industry2]]</f>
        <v>Diversified Banks</v>
      </c>
      <c r="B108" t="str">
        <f>Classification_edit[[#This Row],[Industry2]]</f>
        <v>Banks</v>
      </c>
      <c r="C108" t="str">
        <f>Classification_edit[[#This Row],[Sector2]]</f>
        <v>Financials</v>
      </c>
    </row>
    <row r="109" spans="1:3" x14ac:dyDescent="0.25">
      <c r="A109" s="3" t="str">
        <f>Classification_edit[[#This Row],[Sub-Industry2]]</f>
        <v>Regional Banks</v>
      </c>
      <c r="B109" t="str">
        <f>Classification_edit[[#This Row],[Industry2]]</f>
        <v>Banks</v>
      </c>
      <c r="C109" t="str">
        <f>Classification_edit[[#This Row],[Sector2]]</f>
        <v>Financials</v>
      </c>
    </row>
    <row r="110" spans="1:3" x14ac:dyDescent="0.25">
      <c r="A110" s="3" t="str">
        <f>Classification_edit[[#This Row],[Sub-Industry2]]</f>
        <v>Thrifts &amp; Mortgage Finance</v>
      </c>
      <c r="B110" t="str">
        <f>Classification_edit[[#This Row],[Industry2]]</f>
        <v>Thrifts &amp; Mortgage Finance</v>
      </c>
      <c r="C110" t="str">
        <f>Classification_edit[[#This Row],[Sector2]]</f>
        <v>Financials</v>
      </c>
    </row>
    <row r="111" spans="1:3" x14ac:dyDescent="0.25">
      <c r="A111" s="3" t="str">
        <f>Classification_edit[[#This Row],[Sub-Industry2]]</f>
        <v>Other Diversified Financial Services</v>
      </c>
      <c r="B111" t="str">
        <f>Classification_edit[[#This Row],[Industry2]]</f>
        <v>Diversified Financial Services</v>
      </c>
      <c r="C111" t="str">
        <f>Classification_edit[[#This Row],[Sector2]]</f>
        <v>Financials</v>
      </c>
    </row>
    <row r="112" spans="1:3" x14ac:dyDescent="0.25">
      <c r="A112" s="3" t="str">
        <f>Classification_edit[[#This Row],[Sub-Industry2]]</f>
        <v>Multi-Sector Holdings</v>
      </c>
      <c r="B112" t="str">
        <f>Classification_edit[[#This Row],[Industry2]]</f>
        <v>Diversified Financial Services</v>
      </c>
      <c r="C112" t="str">
        <f>Classification_edit[[#This Row],[Sector2]]</f>
        <v>Financials</v>
      </c>
    </row>
    <row r="113" spans="1:3" x14ac:dyDescent="0.25">
      <c r="A113" s="3" t="str">
        <f>Classification_edit[[#This Row],[Sub-Industry2]]</f>
        <v>Specialized Finance</v>
      </c>
      <c r="B113" t="str">
        <f>Classification_edit[[#This Row],[Industry2]]</f>
        <v>Diversified Financial Services</v>
      </c>
      <c r="C113" t="str">
        <f>Classification_edit[[#This Row],[Sector2]]</f>
        <v>Financials</v>
      </c>
    </row>
    <row r="114" spans="1:3" x14ac:dyDescent="0.25">
      <c r="A114" s="3" t="str">
        <f>Classification_edit[[#This Row],[Sub-Industry2]]</f>
        <v>Consumer Finance</v>
      </c>
      <c r="B114" t="str">
        <f>Classification_edit[[#This Row],[Industry2]]</f>
        <v>Consumer Finance</v>
      </c>
      <c r="C114" t="str">
        <f>Classification_edit[[#This Row],[Sector2]]</f>
        <v>Financials</v>
      </c>
    </row>
    <row r="115" spans="1:3" x14ac:dyDescent="0.25">
      <c r="A115" s="3" t="str">
        <f>Classification_edit[[#This Row],[Sub-Industry2]]</f>
        <v>Asset Management &amp; Custody Banks</v>
      </c>
      <c r="B115" t="str">
        <f>Classification_edit[[#This Row],[Industry2]]</f>
        <v>Capital Markets</v>
      </c>
      <c r="C115" t="str">
        <f>Classification_edit[[#This Row],[Sector2]]</f>
        <v>Financials</v>
      </c>
    </row>
    <row r="116" spans="1:3" x14ac:dyDescent="0.25">
      <c r="A116" s="3" t="str">
        <f>Classification_edit[[#This Row],[Sub-Industry2]]</f>
        <v>Investment Banking &amp; Brokerage</v>
      </c>
      <c r="B116" t="str">
        <f>Classification_edit[[#This Row],[Industry2]]</f>
        <v>Capital Markets</v>
      </c>
      <c r="C116" t="str">
        <f>Classification_edit[[#This Row],[Sector2]]</f>
        <v>Financials</v>
      </c>
    </row>
    <row r="117" spans="1:3" x14ac:dyDescent="0.25">
      <c r="A117" s="3" t="str">
        <f>Classification_edit[[#This Row],[Sub-Industry2]]</f>
        <v>Diversified Capital Markets</v>
      </c>
      <c r="B117" t="str">
        <f>Classification_edit[[#This Row],[Industry2]]</f>
        <v>Capital Markets</v>
      </c>
      <c r="C117" t="str">
        <f>Classification_edit[[#This Row],[Sector2]]</f>
        <v>Financials</v>
      </c>
    </row>
    <row r="118" spans="1:3" x14ac:dyDescent="0.25">
      <c r="A118" s="3" t="str">
        <f>Classification_edit[[#This Row],[Sub-Industry2]]</f>
        <v>Financial Exchanges &amp; Data</v>
      </c>
      <c r="B118" t="str">
        <f>Classification_edit[[#This Row],[Industry2]]</f>
        <v>Capital Markets</v>
      </c>
      <c r="C118" t="str">
        <f>Classification_edit[[#This Row],[Sector2]]</f>
        <v>Financials</v>
      </c>
    </row>
    <row r="119" spans="1:3" x14ac:dyDescent="0.25">
      <c r="A119" s="3" t="str">
        <f>Classification_edit[[#This Row],[Sub-Industry2]]</f>
        <v>Mortgage REITs</v>
      </c>
      <c r="B119" t="str">
        <f>Classification_edit[[#This Row],[Industry2]]</f>
        <v>Mortgage Real Estate Investment Trusts (REITs)</v>
      </c>
      <c r="C119" t="str">
        <f>Classification_edit[[#This Row],[Sector2]]</f>
        <v>Financials</v>
      </c>
    </row>
    <row r="120" spans="1:3" x14ac:dyDescent="0.25">
      <c r="A120" s="3" t="str">
        <f>Classification_edit[[#This Row],[Sub-Industry2]]</f>
        <v>Insurance Brokers</v>
      </c>
      <c r="B120" t="str">
        <f>Classification_edit[[#This Row],[Industry2]]</f>
        <v>Insurance</v>
      </c>
      <c r="C120" t="str">
        <f>Classification_edit[[#This Row],[Sector2]]</f>
        <v>Financials</v>
      </c>
    </row>
    <row r="121" spans="1:3" x14ac:dyDescent="0.25">
      <c r="A121" s="3" t="str">
        <f>Classification_edit[[#This Row],[Sub-Industry2]]</f>
        <v>Life &amp; Health Insurance</v>
      </c>
      <c r="B121" t="str">
        <f>Classification_edit[[#This Row],[Industry2]]</f>
        <v>Insurance</v>
      </c>
      <c r="C121" t="str">
        <f>Classification_edit[[#This Row],[Sector2]]</f>
        <v>Financials</v>
      </c>
    </row>
    <row r="122" spans="1:3" x14ac:dyDescent="0.25">
      <c r="A122" s="3" t="str">
        <f>Classification_edit[[#This Row],[Sub-Industry2]]</f>
        <v>Multi-line Insurance</v>
      </c>
      <c r="B122" t="str">
        <f>Classification_edit[[#This Row],[Industry2]]</f>
        <v>Insurance</v>
      </c>
      <c r="C122" t="str">
        <f>Classification_edit[[#This Row],[Sector2]]</f>
        <v>Financials</v>
      </c>
    </row>
    <row r="123" spans="1:3" x14ac:dyDescent="0.25">
      <c r="A123" s="3" t="str">
        <f>Classification_edit[[#This Row],[Sub-Industry2]]</f>
        <v>Property &amp; Casualty Insurance</v>
      </c>
      <c r="B123" t="str">
        <f>Classification_edit[[#This Row],[Industry2]]</f>
        <v>Insurance</v>
      </c>
      <c r="C123" t="str">
        <f>Classification_edit[[#This Row],[Sector2]]</f>
        <v>Financials</v>
      </c>
    </row>
    <row r="124" spans="1:3" x14ac:dyDescent="0.25">
      <c r="A124" s="3" t="str">
        <f>Classification_edit[[#This Row],[Sub-Industry2]]</f>
        <v>Reinsurance</v>
      </c>
      <c r="B124" t="str">
        <f>Classification_edit[[#This Row],[Industry2]]</f>
        <v>Insurance</v>
      </c>
      <c r="C124" t="str">
        <f>Classification_edit[[#This Row],[Sector2]]</f>
        <v>Financials</v>
      </c>
    </row>
    <row r="125" spans="1:3" x14ac:dyDescent="0.25">
      <c r="A125" s="3" t="str">
        <f>Classification_edit[[#This Row],[Sub-Industry2]]</f>
        <v>Internet Software &amp; Services</v>
      </c>
      <c r="B125" t="str">
        <f>Classification_edit[[#This Row],[Industry2]]</f>
        <v>Internet Software &amp; Services</v>
      </c>
      <c r="C125" t="str">
        <f>Classification_edit[[#This Row],[Sector2]]</f>
        <v>Information Technology</v>
      </c>
    </row>
    <row r="126" spans="1:3" x14ac:dyDescent="0.25">
      <c r="A126" s="3" t="str">
        <f>Classification_edit[[#This Row],[Sub-Industry2]]</f>
        <v>IT Consulting &amp; Other Services</v>
      </c>
      <c r="B126" t="str">
        <f>Classification_edit[[#This Row],[Industry2]]</f>
        <v>IT Services</v>
      </c>
      <c r="C126" t="str">
        <f>Classification_edit[[#This Row],[Sector2]]</f>
        <v>Information Technology</v>
      </c>
    </row>
    <row r="127" spans="1:3" x14ac:dyDescent="0.25">
      <c r="A127" s="3" t="str">
        <f>Classification_edit[[#This Row],[Sub-Industry2]]</f>
        <v>Data Processing &amp; Outsourced Services</v>
      </c>
      <c r="B127" t="str">
        <f>Classification_edit[[#This Row],[Industry2]]</f>
        <v>IT Services</v>
      </c>
      <c r="C127" t="str">
        <f>Classification_edit[[#This Row],[Sector2]]</f>
        <v>Information Technology</v>
      </c>
    </row>
    <row r="128" spans="1:3" x14ac:dyDescent="0.25">
      <c r="A128" s="3" t="str">
        <f>Classification_edit[[#This Row],[Sub-Industry2]]</f>
        <v>Application Software</v>
      </c>
      <c r="B128" t="str">
        <f>Classification_edit[[#This Row],[Industry2]]</f>
        <v>Software</v>
      </c>
      <c r="C128" t="str">
        <f>Classification_edit[[#This Row],[Sector2]]</f>
        <v>Information Technology</v>
      </c>
    </row>
    <row r="129" spans="1:3" x14ac:dyDescent="0.25">
      <c r="A129" s="3" t="str">
        <f>Classification_edit[[#This Row],[Sub-Industry2]]</f>
        <v>Systems Software</v>
      </c>
      <c r="B129" t="str">
        <f>Classification_edit[[#This Row],[Industry2]]</f>
        <v>Software</v>
      </c>
      <c r="C129" t="str">
        <f>Classification_edit[[#This Row],[Sector2]]</f>
        <v>Information Technology</v>
      </c>
    </row>
    <row r="130" spans="1:3" x14ac:dyDescent="0.25">
      <c r="A130" s="3" t="str">
        <f>Classification_edit[[#This Row],[Sub-Industry2]]</f>
        <v>Home Entertainment Software</v>
      </c>
      <c r="B130" t="str">
        <f>Classification_edit[[#This Row],[Industry2]]</f>
        <v>Software</v>
      </c>
      <c r="C130" t="str">
        <f>Classification_edit[[#This Row],[Sector2]]</f>
        <v>Information Technology</v>
      </c>
    </row>
    <row r="131" spans="1:3" x14ac:dyDescent="0.25">
      <c r="A131" s="3" t="str">
        <f>Classification_edit[[#This Row],[Sub-Industry2]]</f>
        <v>Communications Equipment</v>
      </c>
      <c r="B131" t="str">
        <f>Classification_edit[[#This Row],[Industry2]]</f>
        <v>Communications Equipment</v>
      </c>
      <c r="C131" t="str">
        <f>Classification_edit[[#This Row],[Sector2]]</f>
        <v>Information Technology</v>
      </c>
    </row>
    <row r="132" spans="1:3" x14ac:dyDescent="0.25">
      <c r="A132" s="3" t="str">
        <f>Classification_edit[[#This Row],[Sub-Industry2]]</f>
        <v>Technology Hardware, Storage &amp; Peripherals</v>
      </c>
      <c r="B132" t="str">
        <f>Classification_edit[[#This Row],[Industry2]]</f>
        <v>Technology Hardware, Storage &amp; Peripherals</v>
      </c>
      <c r="C132" t="str">
        <f>Classification_edit[[#This Row],[Sector2]]</f>
        <v>Information Technology</v>
      </c>
    </row>
    <row r="133" spans="1:3" x14ac:dyDescent="0.25">
      <c r="A133" s="3" t="str">
        <f>Classification_edit[[#This Row],[Sub-Industry2]]</f>
        <v>Electronic Equipment &amp; Instruments</v>
      </c>
      <c r="B133" t="str">
        <f>Classification_edit[[#This Row],[Industry2]]</f>
        <v>Electronic Equipment, Instruments &amp; Components</v>
      </c>
      <c r="C133" t="str">
        <f>Classification_edit[[#This Row],[Sector2]]</f>
        <v>Information Technology</v>
      </c>
    </row>
    <row r="134" spans="1:3" x14ac:dyDescent="0.25">
      <c r="A134" s="3" t="str">
        <f>Classification_edit[[#This Row],[Sub-Industry2]]</f>
        <v>Electronic Components</v>
      </c>
      <c r="B134" t="str">
        <f>Classification_edit[[#This Row],[Industry2]]</f>
        <v>Electronic Equipment, Instruments &amp; Components</v>
      </c>
      <c r="C134" t="str">
        <f>Classification_edit[[#This Row],[Sector2]]</f>
        <v>Information Technology</v>
      </c>
    </row>
    <row r="135" spans="1:3" x14ac:dyDescent="0.25">
      <c r="A135" s="3" t="str">
        <f>Classification_edit[[#This Row],[Sub-Industry2]]</f>
        <v>Electronic Manufacturing Services</v>
      </c>
      <c r="B135" t="str">
        <f>Classification_edit[[#This Row],[Industry2]]</f>
        <v>Electronic Equipment, Instruments &amp; Components</v>
      </c>
      <c r="C135" t="str">
        <f>Classification_edit[[#This Row],[Sector2]]</f>
        <v>Information Technology</v>
      </c>
    </row>
    <row r="136" spans="1:3" x14ac:dyDescent="0.25">
      <c r="A136" s="3" t="str">
        <f>Classification_edit[[#This Row],[Sub-Industry2]]</f>
        <v>Technology Distributors</v>
      </c>
      <c r="B136" t="str">
        <f>Classification_edit[[#This Row],[Industry2]]</f>
        <v>Electronic Equipment, Instruments &amp; Components</v>
      </c>
      <c r="C136" t="str">
        <f>Classification_edit[[#This Row],[Sector2]]</f>
        <v>Information Technology</v>
      </c>
    </row>
    <row r="137" spans="1:3" x14ac:dyDescent="0.25">
      <c r="A137" s="3" t="str">
        <f>Classification_edit[[#This Row],[Sub-Industry2]]</f>
        <v>Semiconductor Equipment</v>
      </c>
      <c r="B137" t="str">
        <f>Classification_edit[[#This Row],[Industry2]]</f>
        <v>Semiconductors &amp; Semiconductor Equipment</v>
      </c>
      <c r="C137" t="str">
        <f>Classification_edit[[#This Row],[Sector2]]</f>
        <v>Information Technology</v>
      </c>
    </row>
    <row r="138" spans="1:3" x14ac:dyDescent="0.25">
      <c r="A138" s="3" t="str">
        <f>Classification_edit[[#This Row],[Sub-Industry2]]</f>
        <v>Semiconductors</v>
      </c>
      <c r="B138" t="str">
        <f>Classification_edit[[#This Row],[Industry2]]</f>
        <v>Semiconductors &amp; Semiconductor Equipment</v>
      </c>
      <c r="C138" t="str">
        <f>Classification_edit[[#This Row],[Sector2]]</f>
        <v>Information Technology</v>
      </c>
    </row>
    <row r="139" spans="1:3" x14ac:dyDescent="0.25">
      <c r="A139" s="3" t="str">
        <f>Classification_edit[[#This Row],[Sub-Industry2]]</f>
        <v>Alternative Carriers</v>
      </c>
      <c r="B139" t="str">
        <f>Classification_edit[[#This Row],[Industry2]]</f>
        <v>Diversified Telecommunication Services</v>
      </c>
      <c r="C139" t="str">
        <f>Classification_edit[[#This Row],[Sector2]]</f>
        <v>Telecommunication Services</v>
      </c>
    </row>
    <row r="140" spans="1:3" x14ac:dyDescent="0.25">
      <c r="A140" s="3" t="str">
        <f>Classification_edit[[#This Row],[Sub-Industry2]]</f>
        <v>Integrated Telecommunication Services</v>
      </c>
      <c r="B140" t="str">
        <f>Classification_edit[[#This Row],[Industry2]]</f>
        <v>Diversified Telecommunication Services</v>
      </c>
      <c r="C140" t="str">
        <f>Classification_edit[[#This Row],[Sector2]]</f>
        <v>Telecommunication Services</v>
      </c>
    </row>
    <row r="141" spans="1:3" x14ac:dyDescent="0.25">
      <c r="A141" s="3" t="str">
        <f>Classification_edit[[#This Row],[Sub-Industry2]]</f>
        <v>Wireless Telecommunication Services</v>
      </c>
      <c r="B141" t="str">
        <f>Classification_edit[[#This Row],[Industry2]]</f>
        <v>Wireless Telecommunication Services</v>
      </c>
      <c r="C141" t="str">
        <f>Classification_edit[[#This Row],[Sector2]]</f>
        <v>Telecommunication Services</v>
      </c>
    </row>
    <row r="142" spans="1:3" x14ac:dyDescent="0.25">
      <c r="A142" s="3" t="str">
        <f>Classification_edit[[#This Row],[Sub-Industry2]]</f>
        <v>Electric Utilities</v>
      </c>
      <c r="B142" t="str">
        <f>Classification_edit[[#This Row],[Industry2]]</f>
        <v>Electric Utilities</v>
      </c>
      <c r="C142" t="str">
        <f>Classification_edit[[#This Row],[Sector2]]</f>
        <v>Utilities</v>
      </c>
    </row>
    <row r="143" spans="1:3" x14ac:dyDescent="0.25">
      <c r="A143" s="3" t="str">
        <f>Classification_edit[[#This Row],[Sub-Industry2]]</f>
        <v>Gas Utilities</v>
      </c>
      <c r="B143" t="str">
        <f>Classification_edit[[#This Row],[Industry2]]</f>
        <v>Gas Utilities</v>
      </c>
      <c r="C143" t="str">
        <f>Classification_edit[[#This Row],[Sector2]]</f>
        <v>Utilities</v>
      </c>
    </row>
    <row r="144" spans="1:3" x14ac:dyDescent="0.25">
      <c r="A144" s="3" t="str">
        <f>Classification_edit[[#This Row],[Sub-Industry2]]</f>
        <v>Multi-Utilities</v>
      </c>
      <c r="B144" t="str">
        <f>Classification_edit[[#This Row],[Industry2]]</f>
        <v>Multi-Utilities</v>
      </c>
      <c r="C144" t="str">
        <f>Classification_edit[[#This Row],[Sector2]]</f>
        <v>Utilities</v>
      </c>
    </row>
    <row r="145" spans="1:3" x14ac:dyDescent="0.25">
      <c r="A145" s="3" t="str">
        <f>Classification_edit[[#This Row],[Sub-Industry2]]</f>
        <v>Water Utilities</v>
      </c>
      <c r="B145" t="str">
        <f>Classification_edit[[#This Row],[Industry2]]</f>
        <v>Water Utilities</v>
      </c>
      <c r="C145" t="str">
        <f>Classification_edit[[#This Row],[Sector2]]</f>
        <v>Utilities</v>
      </c>
    </row>
    <row r="146" spans="1:3" x14ac:dyDescent="0.25">
      <c r="A146" s="3" t="str">
        <f>Classification_edit[[#This Row],[Sub-Industry2]]</f>
        <v>Independent Power Producers &amp; Energy Traders</v>
      </c>
      <c r="B146" t="str">
        <f>Classification_edit[[#This Row],[Industry2]]</f>
        <v>Independent Power and Renewable Electricity Producers</v>
      </c>
      <c r="C146" t="str">
        <f>Classification_edit[[#This Row],[Sector2]]</f>
        <v>Utilities</v>
      </c>
    </row>
    <row r="147" spans="1:3" x14ac:dyDescent="0.25">
      <c r="A147" s="3" t="str">
        <f>Classification_edit[[#This Row],[Sub-Industry2]]</f>
        <v>Renewable Electricity</v>
      </c>
      <c r="B147" t="str">
        <f>Classification_edit[[#This Row],[Industry2]]</f>
        <v>Independent Power and Renewable Electricity Producers</v>
      </c>
      <c r="C147" t="str">
        <f>Classification_edit[[#This Row],[Sector2]]</f>
        <v>Utilities</v>
      </c>
    </row>
    <row r="148" spans="1:3" x14ac:dyDescent="0.25">
      <c r="A148" s="3" t="str">
        <f>Classification_edit[[#This Row],[Sub-Industry2]]</f>
        <v>Diversified REITs</v>
      </c>
      <c r="B148" t="str">
        <f>Classification_edit[[#This Row],[Industry2]]</f>
        <v>Equity Real Estate Investment Trusts (REITs)</v>
      </c>
      <c r="C148" t="str">
        <f>Classification_edit[[#This Row],[Sector2]]</f>
        <v>Real Estate</v>
      </c>
    </row>
    <row r="149" spans="1:3" x14ac:dyDescent="0.25">
      <c r="A149" s="3" t="str">
        <f>Classification_edit[[#This Row],[Sub-Industry2]]</f>
        <v>Industrial REITs</v>
      </c>
      <c r="B149" t="str">
        <f>Classification_edit[[#This Row],[Industry2]]</f>
        <v>Equity Real Estate Investment Trusts (REITs)</v>
      </c>
      <c r="C149" t="str">
        <f>Classification_edit[[#This Row],[Sector2]]</f>
        <v>Real Estate</v>
      </c>
    </row>
    <row r="150" spans="1:3" x14ac:dyDescent="0.25">
      <c r="A150" s="3" t="str">
        <f>Classification_edit[[#This Row],[Sub-Industry2]]</f>
        <v>Hotel &amp; Resort REITs</v>
      </c>
      <c r="B150" t="str">
        <f>Classification_edit[[#This Row],[Industry2]]</f>
        <v>Equity Real Estate Investment Trusts (REITs)</v>
      </c>
      <c r="C150" t="str">
        <f>Classification_edit[[#This Row],[Sector2]]</f>
        <v>Real Estate</v>
      </c>
    </row>
    <row r="151" spans="1:3" x14ac:dyDescent="0.25">
      <c r="A151" s="3" t="str">
        <f>Classification_edit[[#This Row],[Sub-Industry2]]</f>
        <v>Office REITs</v>
      </c>
      <c r="B151" t="str">
        <f>Classification_edit[[#This Row],[Industry2]]</f>
        <v>Equity Real Estate Investment Trusts (REITs)</v>
      </c>
      <c r="C151" t="str">
        <f>Classification_edit[[#This Row],[Sector2]]</f>
        <v>Real Estate</v>
      </c>
    </row>
    <row r="152" spans="1:3" x14ac:dyDescent="0.25">
      <c r="A152" s="3" t="str">
        <f>Classification_edit[[#This Row],[Sub-Industry2]]</f>
        <v>Health Care REITs</v>
      </c>
      <c r="B152" t="str">
        <f>Classification_edit[[#This Row],[Industry2]]</f>
        <v>Equity Real Estate Investment Trusts (REITs)</v>
      </c>
      <c r="C152" t="str">
        <f>Classification_edit[[#This Row],[Sector2]]</f>
        <v>Real Estate</v>
      </c>
    </row>
    <row r="153" spans="1:3" x14ac:dyDescent="0.25">
      <c r="A153" s="3" t="str">
        <f>Classification_edit[[#This Row],[Sub-Industry2]]</f>
        <v>Residential REITs</v>
      </c>
      <c r="B153" t="str">
        <f>Classification_edit[[#This Row],[Industry2]]</f>
        <v>Equity Real Estate Investment Trusts (REITs)</v>
      </c>
      <c r="C153" t="str">
        <f>Classification_edit[[#This Row],[Sector2]]</f>
        <v>Real Estate</v>
      </c>
    </row>
    <row r="154" spans="1:3" x14ac:dyDescent="0.25">
      <c r="A154" s="3" t="str">
        <f>Classification_edit[[#This Row],[Sub-Industry2]]</f>
        <v>Retail REITs</v>
      </c>
      <c r="B154" t="str">
        <f>Classification_edit[[#This Row],[Industry2]]</f>
        <v>Equity Real Estate Investment Trusts (REITs)</v>
      </c>
      <c r="C154" t="str">
        <f>Classification_edit[[#This Row],[Sector2]]</f>
        <v>Real Estate</v>
      </c>
    </row>
    <row r="155" spans="1:3" x14ac:dyDescent="0.25">
      <c r="A155" s="3" t="str">
        <f>Classification_edit[[#This Row],[Sub-Industry2]]</f>
        <v>Specialized REITs</v>
      </c>
      <c r="B155" t="str">
        <f>Classification_edit[[#This Row],[Industry2]]</f>
        <v>Equity Real Estate Investment Trusts (REITs)</v>
      </c>
      <c r="C155" t="str">
        <f>Classification_edit[[#This Row],[Sector2]]</f>
        <v>Real Estate</v>
      </c>
    </row>
    <row r="156" spans="1:3" x14ac:dyDescent="0.25">
      <c r="A156" s="3" t="str">
        <f>Classification_edit[[#This Row],[Sub-Industry2]]</f>
        <v>Diversified Real Estate Activities</v>
      </c>
      <c r="B156" t="str">
        <f>Classification_edit[[#This Row],[Industry2]]</f>
        <v>Real Estate Management &amp; Development</v>
      </c>
      <c r="C156" t="str">
        <f>Classification_edit[[#This Row],[Sector2]]</f>
        <v>Real Estate</v>
      </c>
    </row>
    <row r="157" spans="1:3" x14ac:dyDescent="0.25">
      <c r="A157" s="3" t="str">
        <f>Classification_edit[[#This Row],[Sub-Industry2]]</f>
        <v>Real Estate Operating Companies</v>
      </c>
      <c r="B157" t="str">
        <f>Classification_edit[[#This Row],[Industry2]]</f>
        <v>Real Estate Management &amp; Development</v>
      </c>
      <c r="C157" t="str">
        <f>Classification_edit[[#This Row],[Sector2]]</f>
        <v>Real Estate</v>
      </c>
    </row>
    <row r="158" spans="1:3" x14ac:dyDescent="0.25">
      <c r="A158" s="3" t="str">
        <f>Classification_edit[[#This Row],[Sub-Industry2]]</f>
        <v>Real Estate Development</v>
      </c>
      <c r="B158" t="str">
        <f>Classification_edit[[#This Row],[Industry2]]</f>
        <v>Real Estate Management &amp; Development</v>
      </c>
      <c r="C158" t="str">
        <f>Classification_edit[[#This Row],[Sector2]]</f>
        <v>Real Estate</v>
      </c>
    </row>
    <row r="159" spans="1:3" x14ac:dyDescent="0.25">
      <c r="A159" s="3" t="str">
        <f>Classification_edit[[#This Row],[Sub-Industry2]]</f>
        <v>Real Estate Services</v>
      </c>
      <c r="B159" t="str">
        <f>Classification_edit[[#This Row],[Industry2]]</f>
        <v>Real Estate Management &amp; Development</v>
      </c>
      <c r="C159" t="str">
        <f>Classification_edit[[#This Row],[Sector2]]</f>
        <v>Real Estate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2DB18-3D51-4B92-87A2-3746B2E42E05}">
  <dimension ref="A1:H159"/>
  <sheetViews>
    <sheetView topLeftCell="F1" workbookViewId="0">
      <selection activeCell="F143" sqref="F143"/>
    </sheetView>
  </sheetViews>
  <sheetFormatPr defaultRowHeight="12.5" x14ac:dyDescent="0.25"/>
  <cols>
    <col min="2" max="2" width="23.6328125" bestFit="1" customWidth="1"/>
    <col min="3" max="3" width="16.26953125" bestFit="1" customWidth="1"/>
    <col min="4" max="4" width="39.6328125" bestFit="1" customWidth="1"/>
    <col min="5" max="5" width="10.1796875" bestFit="1" customWidth="1"/>
    <col min="6" max="6" width="47.08984375" bestFit="1" customWidth="1"/>
    <col min="7" max="7" width="14.1796875" bestFit="1" customWidth="1"/>
    <col min="8" max="8" width="40.453125" bestFit="1" customWidth="1"/>
  </cols>
  <sheetData>
    <row r="1" spans="1:8" x14ac:dyDescent="0.25">
      <c r="A1" t="s">
        <v>85</v>
      </c>
      <c r="B1" t="s">
        <v>1466</v>
      </c>
      <c r="C1" t="s">
        <v>1467</v>
      </c>
      <c r="D1" t="s">
        <v>1468</v>
      </c>
      <c r="E1" t="s">
        <v>86</v>
      </c>
      <c r="F1" t="s">
        <v>1469</v>
      </c>
      <c r="G1" t="s">
        <v>1470</v>
      </c>
      <c r="H1" s="4" t="s">
        <v>1471</v>
      </c>
    </row>
    <row r="2" spans="1:8" x14ac:dyDescent="0.25">
      <c r="A2">
        <v>10</v>
      </c>
      <c r="B2" s="3" t="s">
        <v>74</v>
      </c>
      <c r="C2">
        <v>1010</v>
      </c>
      <c r="D2" s="3" t="s">
        <v>74</v>
      </c>
      <c r="E2">
        <v>101010</v>
      </c>
      <c r="F2" s="3" t="s">
        <v>34</v>
      </c>
      <c r="G2">
        <v>10101010</v>
      </c>
      <c r="H2" s="3" t="s">
        <v>792</v>
      </c>
    </row>
    <row r="3" spans="1:8" x14ac:dyDescent="0.25">
      <c r="A3">
        <v>10</v>
      </c>
      <c r="B3" s="3" t="s">
        <v>74</v>
      </c>
      <c r="C3">
        <v>1010</v>
      </c>
      <c r="D3" s="3" t="s">
        <v>74</v>
      </c>
      <c r="E3">
        <v>101010</v>
      </c>
      <c r="F3" s="3" t="s">
        <v>34</v>
      </c>
      <c r="G3">
        <v>10101020</v>
      </c>
      <c r="H3" s="3" t="s">
        <v>320</v>
      </c>
    </row>
    <row r="4" spans="1:8" x14ac:dyDescent="0.25">
      <c r="A4">
        <v>10</v>
      </c>
      <c r="B4" s="3" t="s">
        <v>74</v>
      </c>
      <c r="C4">
        <v>1010</v>
      </c>
      <c r="D4" s="3" t="s">
        <v>74</v>
      </c>
      <c r="E4">
        <v>101020</v>
      </c>
      <c r="F4" s="3" t="s">
        <v>35</v>
      </c>
      <c r="G4">
        <v>10102010</v>
      </c>
      <c r="H4" s="3" t="s">
        <v>452</v>
      </c>
    </row>
    <row r="5" spans="1:8" x14ac:dyDescent="0.25">
      <c r="A5">
        <v>10</v>
      </c>
      <c r="B5" s="3" t="s">
        <v>74</v>
      </c>
      <c r="C5">
        <v>1010</v>
      </c>
      <c r="D5" s="3" t="s">
        <v>74</v>
      </c>
      <c r="E5">
        <v>101020</v>
      </c>
      <c r="F5" s="3" t="s">
        <v>35</v>
      </c>
      <c r="G5">
        <v>10102020</v>
      </c>
      <c r="H5" s="3" t="s">
        <v>247</v>
      </c>
    </row>
    <row r="6" spans="1:8" x14ac:dyDescent="0.25">
      <c r="A6">
        <v>10</v>
      </c>
      <c r="B6" s="3" t="s">
        <v>74</v>
      </c>
      <c r="C6">
        <v>1010</v>
      </c>
      <c r="D6" s="3" t="s">
        <v>74</v>
      </c>
      <c r="E6">
        <v>101020</v>
      </c>
      <c r="F6" s="3" t="s">
        <v>35</v>
      </c>
      <c r="G6">
        <v>10102030</v>
      </c>
      <c r="H6" s="3" t="s">
        <v>254</v>
      </c>
    </row>
    <row r="7" spans="1:8" x14ac:dyDescent="0.25">
      <c r="A7">
        <v>10</v>
      </c>
      <c r="B7" s="3" t="s">
        <v>74</v>
      </c>
      <c r="C7">
        <v>1010</v>
      </c>
      <c r="D7" s="3" t="s">
        <v>74</v>
      </c>
      <c r="E7">
        <v>101020</v>
      </c>
      <c r="F7" s="3" t="s">
        <v>35</v>
      </c>
      <c r="G7">
        <v>10102040</v>
      </c>
      <c r="H7" s="3" t="s">
        <v>906</v>
      </c>
    </row>
    <row r="8" spans="1:8" x14ac:dyDescent="0.25">
      <c r="A8">
        <v>10</v>
      </c>
      <c r="B8" s="3" t="s">
        <v>74</v>
      </c>
      <c r="C8">
        <v>1010</v>
      </c>
      <c r="D8" s="3" t="s">
        <v>74</v>
      </c>
      <c r="E8">
        <v>101020</v>
      </c>
      <c r="F8" s="3" t="s">
        <v>35</v>
      </c>
      <c r="G8">
        <v>10102050</v>
      </c>
      <c r="H8" s="3" t="s">
        <v>1472</v>
      </c>
    </row>
    <row r="9" spans="1:8" x14ac:dyDescent="0.25">
      <c r="A9">
        <v>15</v>
      </c>
      <c r="B9" s="3" t="s">
        <v>79</v>
      </c>
      <c r="C9">
        <v>1510</v>
      </c>
      <c r="D9" s="3" t="s">
        <v>79</v>
      </c>
      <c r="F9" s="3"/>
      <c r="H9" s="3"/>
    </row>
    <row r="10" spans="1:8" x14ac:dyDescent="0.25">
      <c r="A10">
        <v>15</v>
      </c>
      <c r="B10" s="3" t="s">
        <v>79</v>
      </c>
      <c r="C10">
        <v>1510</v>
      </c>
      <c r="D10" s="3" t="s">
        <v>79</v>
      </c>
      <c r="E10">
        <v>151010</v>
      </c>
      <c r="F10" s="3" t="s">
        <v>65</v>
      </c>
      <c r="G10">
        <v>15101010</v>
      </c>
      <c r="H10" s="3" t="s">
        <v>1473</v>
      </c>
    </row>
    <row r="11" spans="1:8" x14ac:dyDescent="0.25">
      <c r="A11">
        <v>15</v>
      </c>
      <c r="B11" s="3" t="s">
        <v>79</v>
      </c>
      <c r="C11">
        <v>1510</v>
      </c>
      <c r="D11" s="3" t="s">
        <v>79</v>
      </c>
      <c r="E11">
        <v>151010</v>
      </c>
      <c r="F11" s="3" t="s">
        <v>65</v>
      </c>
      <c r="G11">
        <v>15101020</v>
      </c>
      <c r="H11" s="3" t="s">
        <v>596</v>
      </c>
    </row>
    <row r="12" spans="1:8" x14ac:dyDescent="0.25">
      <c r="A12">
        <v>15</v>
      </c>
      <c r="B12" s="3" t="s">
        <v>79</v>
      </c>
      <c r="C12">
        <v>1510</v>
      </c>
      <c r="D12" s="3" t="s">
        <v>79</v>
      </c>
      <c r="E12">
        <v>151010</v>
      </c>
      <c r="F12" s="3" t="s">
        <v>65</v>
      </c>
      <c r="G12">
        <v>15101030</v>
      </c>
      <c r="H12" s="3" t="s">
        <v>438</v>
      </c>
    </row>
    <row r="13" spans="1:8" x14ac:dyDescent="0.25">
      <c r="A13">
        <v>15</v>
      </c>
      <c r="B13" s="3" t="s">
        <v>79</v>
      </c>
      <c r="C13">
        <v>1510</v>
      </c>
      <c r="D13" s="3" t="s">
        <v>79</v>
      </c>
      <c r="E13">
        <v>151010</v>
      </c>
      <c r="F13" s="3" t="s">
        <v>65</v>
      </c>
      <c r="G13">
        <v>15101040</v>
      </c>
      <c r="H13" s="3" t="s">
        <v>159</v>
      </c>
    </row>
    <row r="14" spans="1:8" x14ac:dyDescent="0.25">
      <c r="A14">
        <v>15</v>
      </c>
      <c r="B14" s="3" t="s">
        <v>79</v>
      </c>
      <c r="C14">
        <v>1510</v>
      </c>
      <c r="D14" s="3" t="s">
        <v>79</v>
      </c>
      <c r="E14">
        <v>151010</v>
      </c>
      <c r="F14" s="3" t="s">
        <v>65</v>
      </c>
      <c r="G14">
        <v>15101050</v>
      </c>
      <c r="H14" s="3" t="s">
        <v>169</v>
      </c>
    </row>
    <row r="15" spans="1:8" x14ac:dyDescent="0.25">
      <c r="A15">
        <v>15</v>
      </c>
      <c r="B15" s="3" t="s">
        <v>79</v>
      </c>
      <c r="C15">
        <v>1510</v>
      </c>
      <c r="D15" s="3" t="s">
        <v>79</v>
      </c>
      <c r="E15">
        <v>151020</v>
      </c>
      <c r="F15" s="3" t="s">
        <v>66</v>
      </c>
      <c r="G15">
        <v>15102010</v>
      </c>
      <c r="H15" s="3" t="s">
        <v>66</v>
      </c>
    </row>
    <row r="16" spans="1:8" x14ac:dyDescent="0.25">
      <c r="A16">
        <v>15</v>
      </c>
      <c r="B16" s="3" t="s">
        <v>79</v>
      </c>
      <c r="C16">
        <v>1510</v>
      </c>
      <c r="D16" s="3" t="s">
        <v>79</v>
      </c>
      <c r="E16">
        <v>151030</v>
      </c>
      <c r="F16" s="3" t="s">
        <v>67</v>
      </c>
      <c r="G16">
        <v>15103010</v>
      </c>
      <c r="H16" s="3" t="s">
        <v>323</v>
      </c>
    </row>
    <row r="17" spans="1:8" x14ac:dyDescent="0.25">
      <c r="A17">
        <v>15</v>
      </c>
      <c r="B17" s="3" t="s">
        <v>79</v>
      </c>
      <c r="C17">
        <v>1510</v>
      </c>
      <c r="D17" s="3" t="s">
        <v>79</v>
      </c>
      <c r="E17">
        <v>151030</v>
      </c>
      <c r="F17" s="3" t="s">
        <v>67</v>
      </c>
      <c r="G17">
        <v>15103020</v>
      </c>
      <c r="H17" s="3" t="s">
        <v>316</v>
      </c>
    </row>
    <row r="18" spans="1:8" x14ac:dyDescent="0.25">
      <c r="A18">
        <v>15</v>
      </c>
      <c r="B18" s="3" t="s">
        <v>79</v>
      </c>
      <c r="C18">
        <v>1510</v>
      </c>
      <c r="D18" s="3" t="s">
        <v>79</v>
      </c>
      <c r="E18">
        <v>151040</v>
      </c>
      <c r="F18" s="3" t="s">
        <v>68</v>
      </c>
      <c r="G18">
        <v>15104010</v>
      </c>
      <c r="H18" s="3" t="s">
        <v>1474</v>
      </c>
    </row>
    <row r="19" spans="1:8" x14ac:dyDescent="0.25">
      <c r="A19">
        <v>15</v>
      </c>
      <c r="B19" s="3" t="s">
        <v>79</v>
      </c>
      <c r="C19">
        <v>1510</v>
      </c>
      <c r="D19" s="3" t="s">
        <v>79</v>
      </c>
      <c r="E19">
        <v>151040</v>
      </c>
      <c r="F19" s="3" t="s">
        <v>68</v>
      </c>
      <c r="G19">
        <v>15104020</v>
      </c>
      <c r="H19" s="3" t="s">
        <v>1475</v>
      </c>
    </row>
    <row r="20" spans="1:8" x14ac:dyDescent="0.25">
      <c r="A20">
        <v>15</v>
      </c>
      <c r="B20" s="3" t="s">
        <v>79</v>
      </c>
      <c r="C20">
        <v>1510</v>
      </c>
      <c r="D20" s="3" t="s">
        <v>79</v>
      </c>
      <c r="E20">
        <v>151040</v>
      </c>
      <c r="F20" s="3" t="s">
        <v>68</v>
      </c>
      <c r="G20">
        <v>15104025</v>
      </c>
      <c r="H20" s="3" t="s">
        <v>732</v>
      </c>
    </row>
    <row r="21" spans="1:8" x14ac:dyDescent="0.25">
      <c r="A21">
        <v>15</v>
      </c>
      <c r="B21" s="3" t="s">
        <v>79</v>
      </c>
      <c r="C21">
        <v>1510</v>
      </c>
      <c r="D21" s="3" t="s">
        <v>79</v>
      </c>
      <c r="E21">
        <v>151040</v>
      </c>
      <c r="F21" s="3" t="s">
        <v>68</v>
      </c>
      <c r="G21">
        <v>15104030</v>
      </c>
      <c r="H21" s="3" t="s">
        <v>1063</v>
      </c>
    </row>
    <row r="22" spans="1:8" x14ac:dyDescent="0.25">
      <c r="A22">
        <v>15</v>
      </c>
      <c r="B22" s="3" t="s">
        <v>79</v>
      </c>
      <c r="C22">
        <v>1510</v>
      </c>
      <c r="D22" s="3" t="s">
        <v>79</v>
      </c>
      <c r="E22">
        <v>151040</v>
      </c>
      <c r="F22" s="3" t="s">
        <v>68</v>
      </c>
      <c r="G22">
        <v>15104040</v>
      </c>
      <c r="H22" s="3" t="s">
        <v>1476</v>
      </c>
    </row>
    <row r="23" spans="1:8" x14ac:dyDescent="0.25">
      <c r="A23">
        <v>15</v>
      </c>
      <c r="B23" s="3" t="s">
        <v>79</v>
      </c>
      <c r="C23">
        <v>1510</v>
      </c>
      <c r="D23" s="3" t="s">
        <v>79</v>
      </c>
      <c r="E23">
        <v>151040</v>
      </c>
      <c r="F23" s="3" t="s">
        <v>68</v>
      </c>
      <c r="G23">
        <v>15104045</v>
      </c>
      <c r="H23" s="3" t="s">
        <v>1477</v>
      </c>
    </row>
    <row r="24" spans="1:8" x14ac:dyDescent="0.25">
      <c r="A24">
        <v>15</v>
      </c>
      <c r="B24" s="3" t="s">
        <v>79</v>
      </c>
      <c r="C24">
        <v>1510</v>
      </c>
      <c r="D24" s="3" t="s">
        <v>79</v>
      </c>
      <c r="E24">
        <v>151040</v>
      </c>
      <c r="F24" s="3" t="s">
        <v>68</v>
      </c>
      <c r="G24">
        <v>15104050</v>
      </c>
      <c r="H24" s="3" t="s">
        <v>1099</v>
      </c>
    </row>
    <row r="25" spans="1:8" x14ac:dyDescent="0.25">
      <c r="A25">
        <v>15</v>
      </c>
      <c r="B25" s="3" t="s">
        <v>79</v>
      </c>
      <c r="C25">
        <v>1510</v>
      </c>
      <c r="D25" s="3" t="s">
        <v>79</v>
      </c>
      <c r="E25">
        <v>151050</v>
      </c>
      <c r="F25" s="3" t="s">
        <v>69</v>
      </c>
      <c r="G25">
        <v>15105010</v>
      </c>
      <c r="H25" s="3" t="s">
        <v>1478</v>
      </c>
    </row>
    <row r="26" spans="1:8" x14ac:dyDescent="0.25">
      <c r="A26">
        <v>15</v>
      </c>
      <c r="B26" s="3" t="s">
        <v>79</v>
      </c>
      <c r="C26">
        <v>1510</v>
      </c>
      <c r="D26" s="3" t="s">
        <v>79</v>
      </c>
      <c r="E26">
        <v>151050</v>
      </c>
      <c r="F26" s="3" t="s">
        <v>69</v>
      </c>
      <c r="G26">
        <v>15105020</v>
      </c>
      <c r="H26" s="3" t="s">
        <v>1479</v>
      </c>
    </row>
    <row r="27" spans="1:8" x14ac:dyDescent="0.25">
      <c r="A27">
        <v>20</v>
      </c>
      <c r="B27" s="3" t="s">
        <v>77</v>
      </c>
      <c r="C27">
        <v>2010</v>
      </c>
      <c r="D27" s="3" t="s">
        <v>1480</v>
      </c>
      <c r="E27">
        <v>201010</v>
      </c>
      <c r="F27" s="3" t="s">
        <v>42</v>
      </c>
      <c r="G27">
        <v>20101010</v>
      </c>
      <c r="H27" s="3" t="s">
        <v>42</v>
      </c>
    </row>
    <row r="28" spans="1:8" x14ac:dyDescent="0.25">
      <c r="A28">
        <v>20</v>
      </c>
      <c r="B28" s="3" t="s">
        <v>77</v>
      </c>
      <c r="C28">
        <v>2010</v>
      </c>
      <c r="D28" s="3" t="s">
        <v>1480</v>
      </c>
      <c r="E28">
        <v>201020</v>
      </c>
      <c r="F28" s="3" t="s">
        <v>45</v>
      </c>
      <c r="G28">
        <v>20102010</v>
      </c>
      <c r="H28" s="3" t="s">
        <v>45</v>
      </c>
    </row>
    <row r="29" spans="1:8" x14ac:dyDescent="0.25">
      <c r="A29">
        <v>20</v>
      </c>
      <c r="B29" s="3" t="s">
        <v>77</v>
      </c>
      <c r="C29">
        <v>2010</v>
      </c>
      <c r="D29" s="3" t="s">
        <v>1480</v>
      </c>
      <c r="E29">
        <v>201030</v>
      </c>
      <c r="F29" s="3" t="s">
        <v>47</v>
      </c>
      <c r="G29">
        <v>20103010</v>
      </c>
      <c r="H29" s="3" t="s">
        <v>47</v>
      </c>
    </row>
    <row r="30" spans="1:8" x14ac:dyDescent="0.25">
      <c r="A30">
        <v>20</v>
      </c>
      <c r="B30" s="3" t="s">
        <v>77</v>
      </c>
      <c r="C30">
        <v>2010</v>
      </c>
      <c r="D30" s="3" t="s">
        <v>1480</v>
      </c>
      <c r="E30">
        <v>201040</v>
      </c>
      <c r="F30" s="3" t="s">
        <v>48</v>
      </c>
      <c r="G30">
        <v>20104010</v>
      </c>
      <c r="H30" s="3" t="s">
        <v>124</v>
      </c>
    </row>
    <row r="31" spans="1:8" x14ac:dyDescent="0.25">
      <c r="A31">
        <v>20</v>
      </c>
      <c r="B31" s="3" t="s">
        <v>77</v>
      </c>
      <c r="C31">
        <v>2010</v>
      </c>
      <c r="D31" s="3" t="s">
        <v>1480</v>
      </c>
      <c r="E31">
        <v>201040</v>
      </c>
      <c r="F31" s="3" t="s">
        <v>48</v>
      </c>
      <c r="G31">
        <v>20104020</v>
      </c>
      <c r="H31" s="3" t="s">
        <v>1481</v>
      </c>
    </row>
    <row r="32" spans="1:8" x14ac:dyDescent="0.25">
      <c r="A32">
        <v>20</v>
      </c>
      <c r="B32" s="3" t="s">
        <v>77</v>
      </c>
      <c r="C32">
        <v>2010</v>
      </c>
      <c r="D32" s="3" t="s">
        <v>1480</v>
      </c>
      <c r="E32">
        <v>201050</v>
      </c>
      <c r="F32" s="3" t="s">
        <v>49</v>
      </c>
      <c r="G32">
        <v>20105010</v>
      </c>
      <c r="H32" s="3" t="s">
        <v>49</v>
      </c>
    </row>
    <row r="33" spans="1:8" x14ac:dyDescent="0.25">
      <c r="A33">
        <v>20</v>
      </c>
      <c r="B33" s="3" t="s">
        <v>77</v>
      </c>
      <c r="C33">
        <v>2010</v>
      </c>
      <c r="D33" s="3" t="s">
        <v>1480</v>
      </c>
      <c r="E33">
        <v>201060</v>
      </c>
      <c r="F33" s="3" t="s">
        <v>50</v>
      </c>
      <c r="G33">
        <v>20106010</v>
      </c>
      <c r="H33" s="3" t="s">
        <v>413</v>
      </c>
    </row>
    <row r="34" spans="1:8" x14ac:dyDescent="0.25">
      <c r="A34">
        <v>20</v>
      </c>
      <c r="B34" s="3" t="s">
        <v>77</v>
      </c>
      <c r="C34">
        <v>2010</v>
      </c>
      <c r="D34" s="3" t="s">
        <v>1480</v>
      </c>
      <c r="E34">
        <v>201060</v>
      </c>
      <c r="F34" s="3" t="s">
        <v>50</v>
      </c>
      <c r="G34">
        <v>20106015</v>
      </c>
      <c r="H34" s="3" t="s">
        <v>560</v>
      </c>
    </row>
    <row r="35" spans="1:8" x14ac:dyDescent="0.25">
      <c r="A35">
        <v>20</v>
      </c>
      <c r="B35" s="3" t="s">
        <v>77</v>
      </c>
      <c r="C35">
        <v>2010</v>
      </c>
      <c r="D35" s="3" t="s">
        <v>1480</v>
      </c>
      <c r="E35">
        <v>201060</v>
      </c>
      <c r="F35" s="3" t="s">
        <v>50</v>
      </c>
      <c r="G35">
        <v>20106020</v>
      </c>
      <c r="H35" s="3" t="s">
        <v>540</v>
      </c>
    </row>
    <row r="36" spans="1:8" x14ac:dyDescent="0.25">
      <c r="A36">
        <v>20</v>
      </c>
      <c r="B36" s="3" t="s">
        <v>77</v>
      </c>
      <c r="C36">
        <v>2010</v>
      </c>
      <c r="D36" s="3" t="s">
        <v>1480</v>
      </c>
      <c r="E36">
        <v>201070</v>
      </c>
      <c r="F36" s="3" t="s">
        <v>54</v>
      </c>
      <c r="G36">
        <v>20107010</v>
      </c>
      <c r="H36" s="3" t="s">
        <v>54</v>
      </c>
    </row>
    <row r="37" spans="1:8" x14ac:dyDescent="0.25">
      <c r="A37">
        <v>20</v>
      </c>
      <c r="B37" s="3" t="s">
        <v>77</v>
      </c>
      <c r="C37">
        <v>2020</v>
      </c>
      <c r="D37" s="3" t="s">
        <v>1482</v>
      </c>
      <c r="E37">
        <v>202010</v>
      </c>
      <c r="F37" s="3" t="s">
        <v>46</v>
      </c>
      <c r="G37">
        <v>20201010</v>
      </c>
      <c r="H37" s="3" t="s">
        <v>1483</v>
      </c>
    </row>
    <row r="38" spans="1:8" x14ac:dyDescent="0.25">
      <c r="A38">
        <v>20</v>
      </c>
      <c r="B38" s="3" t="s">
        <v>77</v>
      </c>
      <c r="C38">
        <v>2020</v>
      </c>
      <c r="D38" s="3" t="s">
        <v>1482</v>
      </c>
      <c r="E38">
        <v>202010</v>
      </c>
      <c r="F38" s="3" t="s">
        <v>46</v>
      </c>
      <c r="G38">
        <v>20201050</v>
      </c>
      <c r="H38" s="3" t="s">
        <v>1217</v>
      </c>
    </row>
    <row r="39" spans="1:8" x14ac:dyDescent="0.25">
      <c r="A39">
        <v>20</v>
      </c>
      <c r="B39" s="3" t="s">
        <v>77</v>
      </c>
      <c r="C39">
        <v>2020</v>
      </c>
      <c r="D39" s="3" t="s">
        <v>1482</v>
      </c>
      <c r="E39">
        <v>202010</v>
      </c>
      <c r="F39" s="3" t="s">
        <v>46</v>
      </c>
      <c r="G39">
        <v>20201060</v>
      </c>
      <c r="H39" s="3" t="s">
        <v>1484</v>
      </c>
    </row>
    <row r="40" spans="1:8" x14ac:dyDescent="0.25">
      <c r="A40">
        <v>20</v>
      </c>
      <c r="B40" s="3" t="s">
        <v>77</v>
      </c>
      <c r="C40">
        <v>2020</v>
      </c>
      <c r="D40" s="3" t="s">
        <v>1482</v>
      </c>
      <c r="E40">
        <v>202010</v>
      </c>
      <c r="F40" s="3" t="s">
        <v>46</v>
      </c>
      <c r="G40">
        <v>20201070</v>
      </c>
      <c r="H40" s="3" t="s">
        <v>473</v>
      </c>
    </row>
    <row r="41" spans="1:8" x14ac:dyDescent="0.25">
      <c r="A41">
        <v>20</v>
      </c>
      <c r="B41" s="3" t="s">
        <v>77</v>
      </c>
      <c r="C41">
        <v>2020</v>
      </c>
      <c r="D41" s="3" t="s">
        <v>1482</v>
      </c>
      <c r="E41">
        <v>202010</v>
      </c>
      <c r="F41" s="3" t="s">
        <v>46</v>
      </c>
      <c r="G41">
        <v>20201080</v>
      </c>
      <c r="H41" s="3" t="s">
        <v>1485</v>
      </c>
    </row>
    <row r="42" spans="1:8" x14ac:dyDescent="0.25">
      <c r="A42">
        <v>20</v>
      </c>
      <c r="B42" s="3" t="s">
        <v>77</v>
      </c>
      <c r="C42">
        <v>2020</v>
      </c>
      <c r="D42" s="3" t="s">
        <v>1482</v>
      </c>
      <c r="E42">
        <v>202020</v>
      </c>
      <c r="F42" s="3" t="s">
        <v>52</v>
      </c>
      <c r="G42">
        <v>20202010</v>
      </c>
      <c r="H42" s="3" t="s">
        <v>1222</v>
      </c>
    </row>
    <row r="43" spans="1:8" x14ac:dyDescent="0.25">
      <c r="A43">
        <v>20</v>
      </c>
      <c r="B43" s="3" t="s">
        <v>77</v>
      </c>
      <c r="C43">
        <v>2020</v>
      </c>
      <c r="D43" s="3" t="s">
        <v>1482</v>
      </c>
      <c r="E43">
        <v>202020</v>
      </c>
      <c r="F43" s="3" t="s">
        <v>52</v>
      </c>
      <c r="G43">
        <v>20202020</v>
      </c>
      <c r="H43" s="3" t="s">
        <v>647</v>
      </c>
    </row>
    <row r="44" spans="1:8" x14ac:dyDescent="0.25">
      <c r="A44">
        <v>20</v>
      </c>
      <c r="B44" s="3" t="s">
        <v>77</v>
      </c>
      <c r="C44">
        <v>2030</v>
      </c>
      <c r="D44" s="3" t="s">
        <v>1486</v>
      </c>
      <c r="E44">
        <v>203010</v>
      </c>
      <c r="F44" s="3" t="s">
        <v>43</v>
      </c>
      <c r="G44">
        <v>20301010</v>
      </c>
      <c r="H44" s="3" t="s">
        <v>43</v>
      </c>
    </row>
    <row r="45" spans="1:8" x14ac:dyDescent="0.25">
      <c r="A45">
        <v>20</v>
      </c>
      <c r="B45" s="3" t="s">
        <v>77</v>
      </c>
      <c r="C45">
        <v>2030</v>
      </c>
      <c r="D45" s="3" t="s">
        <v>1486</v>
      </c>
      <c r="E45">
        <v>203020</v>
      </c>
      <c r="F45" s="3" t="s">
        <v>44</v>
      </c>
      <c r="G45">
        <v>20302010</v>
      </c>
      <c r="H45" s="3" t="s">
        <v>44</v>
      </c>
    </row>
    <row r="46" spans="1:8" x14ac:dyDescent="0.25">
      <c r="A46">
        <v>20</v>
      </c>
      <c r="B46" s="3" t="s">
        <v>77</v>
      </c>
      <c r="C46">
        <v>2030</v>
      </c>
      <c r="D46" s="3" t="s">
        <v>1486</v>
      </c>
      <c r="E46">
        <v>203030</v>
      </c>
      <c r="F46" s="3" t="s">
        <v>51</v>
      </c>
      <c r="G46">
        <v>20303010</v>
      </c>
      <c r="H46" s="3" t="s">
        <v>51</v>
      </c>
    </row>
    <row r="47" spans="1:8" x14ac:dyDescent="0.25">
      <c r="A47">
        <v>20</v>
      </c>
      <c r="B47" s="3" t="s">
        <v>77</v>
      </c>
      <c r="C47">
        <v>2030</v>
      </c>
      <c r="D47" s="3" t="s">
        <v>1486</v>
      </c>
      <c r="E47">
        <v>203040</v>
      </c>
      <c r="F47" s="3" t="s">
        <v>53</v>
      </c>
      <c r="G47">
        <v>20304010</v>
      </c>
      <c r="H47" s="3" t="s">
        <v>536</v>
      </c>
    </row>
    <row r="48" spans="1:8" x14ac:dyDescent="0.25">
      <c r="A48">
        <v>20</v>
      </c>
      <c r="B48" s="3" t="s">
        <v>77</v>
      </c>
      <c r="C48">
        <v>2030</v>
      </c>
      <c r="D48" s="3" t="s">
        <v>1486</v>
      </c>
      <c r="E48">
        <v>203040</v>
      </c>
      <c r="F48" s="3" t="s">
        <v>53</v>
      </c>
      <c r="G48">
        <v>20304020</v>
      </c>
      <c r="H48" s="3" t="s">
        <v>876</v>
      </c>
    </row>
    <row r="49" spans="1:8" x14ac:dyDescent="0.25">
      <c r="A49">
        <v>20</v>
      </c>
      <c r="B49" s="3" t="s">
        <v>77</v>
      </c>
      <c r="C49">
        <v>2030</v>
      </c>
      <c r="D49" s="3" t="s">
        <v>1486</v>
      </c>
      <c r="E49">
        <v>203050</v>
      </c>
      <c r="F49" s="3" t="s">
        <v>55</v>
      </c>
      <c r="G49">
        <v>20305010</v>
      </c>
      <c r="H49" s="3" t="s">
        <v>1487</v>
      </c>
    </row>
    <row r="50" spans="1:8" x14ac:dyDescent="0.25">
      <c r="A50">
        <v>20</v>
      </c>
      <c r="B50" s="3" t="s">
        <v>77</v>
      </c>
      <c r="C50">
        <v>2030</v>
      </c>
      <c r="D50" s="3" t="s">
        <v>1486</v>
      </c>
      <c r="E50">
        <v>203050</v>
      </c>
      <c r="F50" s="3" t="s">
        <v>55</v>
      </c>
      <c r="G50">
        <v>20305020</v>
      </c>
      <c r="H50" s="3" t="s">
        <v>1488</v>
      </c>
    </row>
    <row r="51" spans="1:8" x14ac:dyDescent="0.25">
      <c r="A51">
        <v>20</v>
      </c>
      <c r="B51" s="3" t="s">
        <v>77</v>
      </c>
      <c r="C51">
        <v>2030</v>
      </c>
      <c r="D51" s="3" t="s">
        <v>1486</v>
      </c>
      <c r="E51">
        <v>203050</v>
      </c>
      <c r="F51" s="3" t="s">
        <v>55</v>
      </c>
      <c r="G51">
        <v>20305030</v>
      </c>
      <c r="H51" s="3" t="s">
        <v>1489</v>
      </c>
    </row>
    <row r="52" spans="1:8" x14ac:dyDescent="0.25">
      <c r="A52">
        <v>25</v>
      </c>
      <c r="B52" s="3" t="s">
        <v>72</v>
      </c>
      <c r="C52">
        <v>2510</v>
      </c>
      <c r="D52" s="3" t="s">
        <v>1490</v>
      </c>
      <c r="E52">
        <v>251010</v>
      </c>
      <c r="F52" s="3" t="s">
        <v>16</v>
      </c>
      <c r="G52">
        <v>25101010</v>
      </c>
      <c r="H52" s="3" t="s">
        <v>284</v>
      </c>
    </row>
    <row r="53" spans="1:8" x14ac:dyDescent="0.25">
      <c r="A53">
        <v>25</v>
      </c>
      <c r="B53" s="3" t="s">
        <v>72</v>
      </c>
      <c r="C53">
        <v>2510</v>
      </c>
      <c r="D53" s="3" t="s">
        <v>1490</v>
      </c>
      <c r="E53">
        <v>251010</v>
      </c>
      <c r="F53" s="3" t="s">
        <v>16</v>
      </c>
      <c r="G53">
        <v>25101020</v>
      </c>
      <c r="H53" s="3" t="s">
        <v>764</v>
      </c>
    </row>
    <row r="54" spans="1:8" x14ac:dyDescent="0.25">
      <c r="A54">
        <v>25</v>
      </c>
      <c r="B54" s="3" t="s">
        <v>72</v>
      </c>
      <c r="C54">
        <v>2510</v>
      </c>
      <c r="D54" s="3" t="s">
        <v>1490</v>
      </c>
      <c r="E54">
        <v>251020</v>
      </c>
      <c r="F54" s="3" t="s">
        <v>17</v>
      </c>
      <c r="G54">
        <v>25102010</v>
      </c>
      <c r="H54" s="3" t="s">
        <v>720</v>
      </c>
    </row>
    <row r="55" spans="1:8" x14ac:dyDescent="0.25">
      <c r="A55">
        <v>25</v>
      </c>
      <c r="B55" s="3" t="s">
        <v>72</v>
      </c>
      <c r="C55">
        <v>2510</v>
      </c>
      <c r="D55" s="3" t="s">
        <v>1490</v>
      </c>
      <c r="E55">
        <v>251020</v>
      </c>
      <c r="F55" s="3" t="s">
        <v>17</v>
      </c>
      <c r="G55">
        <v>25102020</v>
      </c>
      <c r="H55" s="3" t="s">
        <v>775</v>
      </c>
    </row>
    <row r="56" spans="1:8" x14ac:dyDescent="0.25">
      <c r="A56">
        <v>25</v>
      </c>
      <c r="B56" s="3" t="s">
        <v>72</v>
      </c>
      <c r="C56">
        <v>2520</v>
      </c>
      <c r="D56" s="3" t="s">
        <v>1491</v>
      </c>
      <c r="E56">
        <v>252010</v>
      </c>
      <c r="F56" s="3" t="s">
        <v>21</v>
      </c>
      <c r="G56">
        <v>25201010</v>
      </c>
      <c r="H56" s="3" t="s">
        <v>738</v>
      </c>
    </row>
    <row r="57" spans="1:8" x14ac:dyDescent="0.25">
      <c r="A57">
        <v>25</v>
      </c>
      <c r="B57" s="3" t="s">
        <v>72</v>
      </c>
      <c r="C57">
        <v>2520</v>
      </c>
      <c r="D57" s="3" t="s">
        <v>1491</v>
      </c>
      <c r="E57">
        <v>252010</v>
      </c>
      <c r="F57" s="3" t="s">
        <v>21</v>
      </c>
      <c r="G57">
        <v>25201020</v>
      </c>
      <c r="H57" s="3" t="s">
        <v>930</v>
      </c>
    </row>
    <row r="58" spans="1:8" x14ac:dyDescent="0.25">
      <c r="A58">
        <v>25</v>
      </c>
      <c r="B58" s="3" t="s">
        <v>72</v>
      </c>
      <c r="C58">
        <v>2520</v>
      </c>
      <c r="D58" s="3" t="s">
        <v>1491</v>
      </c>
      <c r="E58">
        <v>252010</v>
      </c>
      <c r="F58" s="3" t="s">
        <v>21</v>
      </c>
      <c r="G58">
        <v>25201030</v>
      </c>
      <c r="H58" s="3" t="s">
        <v>548</v>
      </c>
    </row>
    <row r="59" spans="1:8" x14ac:dyDescent="0.25">
      <c r="A59">
        <v>25</v>
      </c>
      <c r="B59" s="3" t="s">
        <v>72</v>
      </c>
      <c r="C59">
        <v>2520</v>
      </c>
      <c r="D59" s="3" t="s">
        <v>1491</v>
      </c>
      <c r="E59">
        <v>252010</v>
      </c>
      <c r="F59" s="3" t="s">
        <v>21</v>
      </c>
      <c r="G59">
        <v>25201040</v>
      </c>
      <c r="H59" s="3" t="s">
        <v>1268</v>
      </c>
    </row>
    <row r="60" spans="1:8" x14ac:dyDescent="0.25">
      <c r="A60">
        <v>25</v>
      </c>
      <c r="B60" s="3" t="s">
        <v>72</v>
      </c>
      <c r="C60">
        <v>2520</v>
      </c>
      <c r="D60" s="3" t="s">
        <v>1491</v>
      </c>
      <c r="E60">
        <v>252010</v>
      </c>
      <c r="F60" s="3" t="s">
        <v>21</v>
      </c>
      <c r="G60">
        <v>25201050</v>
      </c>
      <c r="H60" s="3" t="s">
        <v>1057</v>
      </c>
    </row>
    <row r="61" spans="1:8" x14ac:dyDescent="0.25">
      <c r="A61">
        <v>25</v>
      </c>
      <c r="B61" s="3" t="s">
        <v>72</v>
      </c>
      <c r="C61">
        <v>2520</v>
      </c>
      <c r="D61" s="3" t="s">
        <v>1491</v>
      </c>
      <c r="E61">
        <v>252020</v>
      </c>
      <c r="F61" s="3" t="s">
        <v>23</v>
      </c>
      <c r="G61">
        <v>25202010</v>
      </c>
      <c r="H61" s="3" t="s">
        <v>23</v>
      </c>
    </row>
    <row r="62" spans="1:8" x14ac:dyDescent="0.25">
      <c r="A62">
        <v>25</v>
      </c>
      <c r="B62" s="3" t="s">
        <v>72</v>
      </c>
      <c r="C62">
        <v>2520</v>
      </c>
      <c r="D62" s="3" t="s">
        <v>1491</v>
      </c>
      <c r="E62">
        <v>252030</v>
      </c>
      <c r="F62" s="3" t="s">
        <v>27</v>
      </c>
      <c r="G62">
        <v>25203010</v>
      </c>
      <c r="H62" s="3" t="s">
        <v>772</v>
      </c>
    </row>
    <row r="63" spans="1:8" x14ac:dyDescent="0.25">
      <c r="A63">
        <v>25</v>
      </c>
      <c r="B63" s="3" t="s">
        <v>72</v>
      </c>
      <c r="C63">
        <v>2520</v>
      </c>
      <c r="D63" s="3" t="s">
        <v>1491</v>
      </c>
      <c r="E63">
        <v>252030</v>
      </c>
      <c r="F63" s="3" t="s">
        <v>27</v>
      </c>
      <c r="G63">
        <v>25203020</v>
      </c>
      <c r="H63" s="3" t="s">
        <v>1492</v>
      </c>
    </row>
    <row r="64" spans="1:8" x14ac:dyDescent="0.25">
      <c r="A64">
        <v>25</v>
      </c>
      <c r="B64" s="3" t="s">
        <v>72</v>
      </c>
      <c r="C64">
        <v>2520</v>
      </c>
      <c r="D64" s="3" t="s">
        <v>1491</v>
      </c>
      <c r="E64">
        <v>252030</v>
      </c>
      <c r="F64" s="3" t="s">
        <v>27</v>
      </c>
      <c r="G64">
        <v>25203030</v>
      </c>
      <c r="H64" s="3" t="s">
        <v>1493</v>
      </c>
    </row>
    <row r="65" spans="1:8" x14ac:dyDescent="0.25">
      <c r="A65">
        <v>25</v>
      </c>
      <c r="B65" s="3" t="s">
        <v>72</v>
      </c>
      <c r="C65">
        <v>2530</v>
      </c>
      <c r="D65" s="3" t="s">
        <v>1494</v>
      </c>
      <c r="E65">
        <v>253010</v>
      </c>
      <c r="F65" s="3" t="s">
        <v>20</v>
      </c>
      <c r="G65">
        <v>25301010</v>
      </c>
      <c r="H65" s="3" t="s">
        <v>1001</v>
      </c>
    </row>
    <row r="66" spans="1:8" x14ac:dyDescent="0.25">
      <c r="A66">
        <v>25</v>
      </c>
      <c r="B66" s="3" t="s">
        <v>72</v>
      </c>
      <c r="C66">
        <v>2530</v>
      </c>
      <c r="D66" s="3" t="s">
        <v>1494</v>
      </c>
      <c r="E66">
        <v>253010</v>
      </c>
      <c r="F66" s="3" t="s">
        <v>20</v>
      </c>
      <c r="G66">
        <v>25301020</v>
      </c>
      <c r="H66" s="3" t="s">
        <v>409</v>
      </c>
    </row>
    <row r="67" spans="1:8" x14ac:dyDescent="0.25">
      <c r="A67">
        <v>25</v>
      </c>
      <c r="B67" s="3" t="s">
        <v>72</v>
      </c>
      <c r="C67">
        <v>2530</v>
      </c>
      <c r="D67" s="3" t="s">
        <v>1494</v>
      </c>
      <c r="E67">
        <v>253010</v>
      </c>
      <c r="F67" s="3" t="s">
        <v>20</v>
      </c>
      <c r="G67">
        <v>25301030</v>
      </c>
      <c r="H67" s="3" t="s">
        <v>1495</v>
      </c>
    </row>
    <row r="68" spans="1:8" x14ac:dyDescent="0.25">
      <c r="A68">
        <v>25</v>
      </c>
      <c r="B68" s="3" t="s">
        <v>72</v>
      </c>
      <c r="C68">
        <v>2530</v>
      </c>
      <c r="D68" s="3" t="s">
        <v>1494</v>
      </c>
      <c r="E68">
        <v>253010</v>
      </c>
      <c r="F68" s="3" t="s">
        <v>20</v>
      </c>
      <c r="G68">
        <v>25301040</v>
      </c>
      <c r="H68" s="3" t="s">
        <v>456</v>
      </c>
    </row>
    <row r="69" spans="1:8" x14ac:dyDescent="0.25">
      <c r="A69">
        <v>25</v>
      </c>
      <c r="B69" s="3" t="s">
        <v>72</v>
      </c>
      <c r="C69">
        <v>2530</v>
      </c>
      <c r="D69" s="3" t="s">
        <v>1494</v>
      </c>
      <c r="E69">
        <v>253020</v>
      </c>
      <c r="F69" s="3" t="s">
        <v>19</v>
      </c>
      <c r="G69">
        <v>25302010</v>
      </c>
      <c r="H69" s="3" t="s">
        <v>1496</v>
      </c>
    </row>
    <row r="70" spans="1:8" x14ac:dyDescent="0.25">
      <c r="A70">
        <v>25</v>
      </c>
      <c r="B70" s="3" t="s">
        <v>72</v>
      </c>
      <c r="C70">
        <v>2530</v>
      </c>
      <c r="D70" s="3" t="s">
        <v>1494</v>
      </c>
      <c r="E70">
        <v>253020</v>
      </c>
      <c r="F70" s="3" t="s">
        <v>19</v>
      </c>
      <c r="G70">
        <v>25302020</v>
      </c>
      <c r="H70" s="3" t="s">
        <v>1497</v>
      </c>
    </row>
    <row r="71" spans="1:8" x14ac:dyDescent="0.25">
      <c r="A71">
        <v>25</v>
      </c>
      <c r="B71" s="3" t="s">
        <v>72</v>
      </c>
      <c r="C71">
        <v>2540</v>
      </c>
      <c r="D71" s="3" t="s">
        <v>24</v>
      </c>
      <c r="E71">
        <v>254010</v>
      </c>
      <c r="F71" s="3" t="s">
        <v>24</v>
      </c>
      <c r="G71">
        <v>25401010</v>
      </c>
      <c r="H71" s="3" t="s">
        <v>857</v>
      </c>
    </row>
    <row r="72" spans="1:8" x14ac:dyDescent="0.25">
      <c r="A72">
        <v>25</v>
      </c>
      <c r="B72" s="3" t="s">
        <v>72</v>
      </c>
      <c r="C72">
        <v>2540</v>
      </c>
      <c r="D72" s="3" t="s">
        <v>24</v>
      </c>
      <c r="E72">
        <v>254010</v>
      </c>
      <c r="F72" s="3" t="s">
        <v>24</v>
      </c>
      <c r="G72">
        <v>25401020</v>
      </c>
      <c r="H72" s="3" t="s">
        <v>421</v>
      </c>
    </row>
    <row r="73" spans="1:8" x14ac:dyDescent="0.25">
      <c r="A73">
        <v>25</v>
      </c>
      <c r="B73" s="3" t="s">
        <v>72</v>
      </c>
      <c r="C73">
        <v>2540</v>
      </c>
      <c r="D73" s="3" t="s">
        <v>24</v>
      </c>
      <c r="E73">
        <v>254010</v>
      </c>
      <c r="F73" s="3" t="s">
        <v>24</v>
      </c>
      <c r="G73">
        <v>25401025</v>
      </c>
      <c r="H73" s="3" t="s">
        <v>445</v>
      </c>
    </row>
    <row r="74" spans="1:8" x14ac:dyDescent="0.25">
      <c r="A74">
        <v>25</v>
      </c>
      <c r="B74" s="3" t="s">
        <v>72</v>
      </c>
      <c r="C74">
        <v>2540</v>
      </c>
      <c r="D74" s="3" t="s">
        <v>24</v>
      </c>
      <c r="E74">
        <v>254010</v>
      </c>
      <c r="F74" s="3" t="s">
        <v>24</v>
      </c>
      <c r="G74">
        <v>25401030</v>
      </c>
      <c r="H74" s="3" t="s">
        <v>1498</v>
      </c>
    </row>
    <row r="75" spans="1:8" x14ac:dyDescent="0.25">
      <c r="A75">
        <v>25</v>
      </c>
      <c r="B75" s="3" t="s">
        <v>72</v>
      </c>
      <c r="C75">
        <v>2540</v>
      </c>
      <c r="D75" s="3" t="s">
        <v>24</v>
      </c>
      <c r="E75">
        <v>254010</v>
      </c>
      <c r="F75" s="3" t="s">
        <v>24</v>
      </c>
      <c r="G75">
        <v>25401040</v>
      </c>
      <c r="H75" s="3" t="s">
        <v>1066</v>
      </c>
    </row>
    <row r="76" spans="1:8" x14ac:dyDescent="0.25">
      <c r="A76">
        <v>25</v>
      </c>
      <c r="B76" s="3" t="s">
        <v>72</v>
      </c>
      <c r="C76">
        <v>2550</v>
      </c>
      <c r="D76" s="3" t="s">
        <v>1499</v>
      </c>
      <c r="E76">
        <v>255010</v>
      </c>
      <c r="F76" s="3" t="s">
        <v>18</v>
      </c>
      <c r="G76">
        <v>25501010</v>
      </c>
      <c r="H76" s="3" t="s">
        <v>18</v>
      </c>
    </row>
    <row r="77" spans="1:8" x14ac:dyDescent="0.25">
      <c r="A77">
        <v>25</v>
      </c>
      <c r="B77" s="3" t="s">
        <v>72</v>
      </c>
      <c r="C77">
        <v>2550</v>
      </c>
      <c r="D77" s="3" t="s">
        <v>1499</v>
      </c>
      <c r="E77">
        <v>255020</v>
      </c>
      <c r="F77" s="3" t="s">
        <v>206</v>
      </c>
      <c r="G77">
        <v>25502020</v>
      </c>
      <c r="H77" s="3" t="s">
        <v>206</v>
      </c>
    </row>
    <row r="78" spans="1:8" x14ac:dyDescent="0.25">
      <c r="A78">
        <v>25</v>
      </c>
      <c r="B78" s="3" t="s">
        <v>72</v>
      </c>
      <c r="C78">
        <v>2550</v>
      </c>
      <c r="D78" s="3" t="s">
        <v>1499</v>
      </c>
      <c r="E78">
        <v>255030</v>
      </c>
      <c r="F78" s="3" t="s">
        <v>25</v>
      </c>
      <c r="G78">
        <v>25503010</v>
      </c>
      <c r="H78" s="3" t="s">
        <v>960</v>
      </c>
    </row>
    <row r="79" spans="1:8" x14ac:dyDescent="0.25">
      <c r="A79">
        <v>25</v>
      </c>
      <c r="B79" s="3" t="s">
        <v>72</v>
      </c>
      <c r="C79">
        <v>2550</v>
      </c>
      <c r="D79" s="3" t="s">
        <v>1499</v>
      </c>
      <c r="E79">
        <v>255030</v>
      </c>
      <c r="F79" s="3" t="s">
        <v>25</v>
      </c>
      <c r="G79">
        <v>25503020</v>
      </c>
      <c r="H79" s="3" t="s">
        <v>584</v>
      </c>
    </row>
    <row r="80" spans="1:8" x14ac:dyDescent="0.25">
      <c r="A80">
        <v>25</v>
      </c>
      <c r="B80" s="3" t="s">
        <v>72</v>
      </c>
      <c r="C80">
        <v>2550</v>
      </c>
      <c r="D80" s="3" t="s">
        <v>1499</v>
      </c>
      <c r="E80">
        <v>255040</v>
      </c>
      <c r="F80" s="3" t="s">
        <v>26</v>
      </c>
      <c r="G80">
        <v>25504010</v>
      </c>
      <c r="H80" s="3" t="s">
        <v>717</v>
      </c>
    </row>
    <row r="81" spans="1:8" x14ac:dyDescent="0.25">
      <c r="A81">
        <v>25</v>
      </c>
      <c r="B81" s="3" t="s">
        <v>72</v>
      </c>
      <c r="C81">
        <v>2550</v>
      </c>
      <c r="D81" s="3" t="s">
        <v>1499</v>
      </c>
      <c r="E81">
        <v>255040</v>
      </c>
      <c r="F81" s="3" t="s">
        <v>26</v>
      </c>
      <c r="G81">
        <v>25504020</v>
      </c>
      <c r="H81" s="3" t="s">
        <v>347</v>
      </c>
    </row>
    <row r="82" spans="1:8" x14ac:dyDescent="0.25">
      <c r="A82">
        <v>25</v>
      </c>
      <c r="B82" s="3" t="s">
        <v>72</v>
      </c>
      <c r="C82">
        <v>2550</v>
      </c>
      <c r="D82" s="3" t="s">
        <v>1499</v>
      </c>
      <c r="E82">
        <v>255040</v>
      </c>
      <c r="F82" s="3" t="s">
        <v>26</v>
      </c>
      <c r="G82">
        <v>25504030</v>
      </c>
      <c r="H82" s="3" t="s">
        <v>810</v>
      </c>
    </row>
    <row r="83" spans="1:8" x14ac:dyDescent="0.25">
      <c r="A83">
        <v>25</v>
      </c>
      <c r="B83" s="3" t="s">
        <v>72</v>
      </c>
      <c r="C83">
        <v>2550</v>
      </c>
      <c r="D83" s="3" t="s">
        <v>1499</v>
      </c>
      <c r="E83">
        <v>255040</v>
      </c>
      <c r="F83" s="3" t="s">
        <v>26</v>
      </c>
      <c r="G83">
        <v>25504040</v>
      </c>
      <c r="H83" s="3" t="s">
        <v>310</v>
      </c>
    </row>
    <row r="84" spans="1:8" x14ac:dyDescent="0.25">
      <c r="A84">
        <v>25</v>
      </c>
      <c r="B84" s="3" t="s">
        <v>72</v>
      </c>
      <c r="C84">
        <v>2550</v>
      </c>
      <c r="D84" s="3" t="s">
        <v>1499</v>
      </c>
      <c r="E84">
        <v>255040</v>
      </c>
      <c r="F84" s="3" t="s">
        <v>26</v>
      </c>
      <c r="G84">
        <v>25504050</v>
      </c>
      <c r="H84" s="3" t="s">
        <v>136</v>
      </c>
    </row>
    <row r="85" spans="1:8" x14ac:dyDescent="0.25">
      <c r="A85">
        <v>25</v>
      </c>
      <c r="B85" s="3" t="s">
        <v>72</v>
      </c>
      <c r="C85">
        <v>2550</v>
      </c>
      <c r="D85" s="3" t="s">
        <v>1499</v>
      </c>
      <c r="E85">
        <v>255040</v>
      </c>
      <c r="F85" s="3" t="s">
        <v>26</v>
      </c>
      <c r="G85">
        <v>25504060</v>
      </c>
      <c r="H85" s="3" t="s">
        <v>1500</v>
      </c>
    </row>
    <row r="86" spans="1:8" x14ac:dyDescent="0.25">
      <c r="A86">
        <v>30</v>
      </c>
      <c r="B86" s="3" t="s">
        <v>73</v>
      </c>
      <c r="C86">
        <v>3010</v>
      </c>
      <c r="D86" s="3" t="s">
        <v>29</v>
      </c>
      <c r="E86">
        <v>301010</v>
      </c>
      <c r="F86" s="3" t="s">
        <v>29</v>
      </c>
      <c r="G86">
        <v>30101010</v>
      </c>
      <c r="H86" s="3" t="s">
        <v>544</v>
      </c>
    </row>
    <row r="87" spans="1:8" x14ac:dyDescent="0.25">
      <c r="A87">
        <v>30</v>
      </c>
      <c r="B87" s="3" t="s">
        <v>73</v>
      </c>
      <c r="C87">
        <v>3010</v>
      </c>
      <c r="D87" s="3" t="s">
        <v>29</v>
      </c>
      <c r="E87">
        <v>301010</v>
      </c>
      <c r="F87" s="3" t="s">
        <v>29</v>
      </c>
      <c r="G87">
        <v>30101020</v>
      </c>
      <c r="H87" s="3" t="s">
        <v>1298</v>
      </c>
    </row>
    <row r="88" spans="1:8" x14ac:dyDescent="0.25">
      <c r="A88">
        <v>30</v>
      </c>
      <c r="B88" s="3" t="s">
        <v>73</v>
      </c>
      <c r="C88">
        <v>3010</v>
      </c>
      <c r="D88" s="3" t="s">
        <v>29</v>
      </c>
      <c r="E88">
        <v>301010</v>
      </c>
      <c r="F88" s="3" t="s">
        <v>29</v>
      </c>
      <c r="G88">
        <v>30101030</v>
      </c>
      <c r="H88" s="3" t="s">
        <v>917</v>
      </c>
    </row>
    <row r="89" spans="1:8" x14ac:dyDescent="0.25">
      <c r="A89">
        <v>30</v>
      </c>
      <c r="B89" s="3" t="s">
        <v>73</v>
      </c>
      <c r="C89">
        <v>3010</v>
      </c>
      <c r="D89" s="3" t="s">
        <v>29</v>
      </c>
      <c r="E89">
        <v>301010</v>
      </c>
      <c r="F89" s="3" t="s">
        <v>29</v>
      </c>
      <c r="G89">
        <v>30101040</v>
      </c>
      <c r="H89" s="3" t="s">
        <v>525</v>
      </c>
    </row>
    <row r="90" spans="1:8" x14ac:dyDescent="0.25">
      <c r="A90">
        <v>30</v>
      </c>
      <c r="B90" s="3" t="s">
        <v>73</v>
      </c>
      <c r="C90">
        <v>3020</v>
      </c>
      <c r="D90" s="3" t="s">
        <v>1501</v>
      </c>
      <c r="E90">
        <v>302010</v>
      </c>
      <c r="F90" s="3" t="s">
        <v>28</v>
      </c>
      <c r="G90">
        <v>30201010</v>
      </c>
      <c r="H90" s="3" t="s">
        <v>1021</v>
      </c>
    </row>
    <row r="91" spans="1:8" x14ac:dyDescent="0.25">
      <c r="A91">
        <v>30</v>
      </c>
      <c r="B91" s="3" t="s">
        <v>73</v>
      </c>
      <c r="C91">
        <v>3020</v>
      </c>
      <c r="D91" s="3" t="s">
        <v>1501</v>
      </c>
      <c r="E91">
        <v>302010</v>
      </c>
      <c r="F91" s="3" t="s">
        <v>28</v>
      </c>
      <c r="G91">
        <v>30201020</v>
      </c>
      <c r="H91" s="3" t="s">
        <v>379</v>
      </c>
    </row>
    <row r="92" spans="1:8" x14ac:dyDescent="0.25">
      <c r="A92">
        <v>30</v>
      </c>
      <c r="B92" s="3" t="s">
        <v>73</v>
      </c>
      <c r="C92">
        <v>3020</v>
      </c>
      <c r="D92" s="3" t="s">
        <v>1501</v>
      </c>
      <c r="E92">
        <v>302010</v>
      </c>
      <c r="F92" s="3" t="s">
        <v>28</v>
      </c>
      <c r="G92">
        <v>30201030</v>
      </c>
      <c r="H92" s="3" t="s">
        <v>495</v>
      </c>
    </row>
    <row r="93" spans="1:8" x14ac:dyDescent="0.25">
      <c r="A93">
        <v>30</v>
      </c>
      <c r="B93" s="3" t="s">
        <v>73</v>
      </c>
      <c r="C93">
        <v>3020</v>
      </c>
      <c r="D93" s="3" t="s">
        <v>1501</v>
      </c>
      <c r="E93">
        <v>302020</v>
      </c>
      <c r="F93" s="3" t="s">
        <v>30</v>
      </c>
      <c r="G93">
        <v>30202010</v>
      </c>
      <c r="H93" s="3" t="s">
        <v>288</v>
      </c>
    </row>
    <row r="94" spans="1:8" x14ac:dyDescent="0.25">
      <c r="A94">
        <v>30</v>
      </c>
      <c r="B94" s="3" t="s">
        <v>73</v>
      </c>
      <c r="C94">
        <v>3020</v>
      </c>
      <c r="D94" s="3" t="s">
        <v>1501</v>
      </c>
      <c r="E94">
        <v>302020</v>
      </c>
      <c r="F94" s="3" t="s">
        <v>30</v>
      </c>
      <c r="G94">
        <v>30202030</v>
      </c>
      <c r="H94" s="3" t="s">
        <v>394</v>
      </c>
    </row>
    <row r="95" spans="1:8" x14ac:dyDescent="0.25">
      <c r="A95">
        <v>30</v>
      </c>
      <c r="B95" s="3" t="s">
        <v>73</v>
      </c>
      <c r="C95">
        <v>3020</v>
      </c>
      <c r="D95" s="3" t="s">
        <v>1501</v>
      </c>
      <c r="E95">
        <v>302030</v>
      </c>
      <c r="F95" s="3" t="s">
        <v>33</v>
      </c>
      <c r="G95">
        <v>30203010</v>
      </c>
      <c r="H95" s="3" t="s">
        <v>33</v>
      </c>
    </row>
    <row r="96" spans="1:8" x14ac:dyDescent="0.25">
      <c r="A96">
        <v>30</v>
      </c>
      <c r="B96" s="3" t="s">
        <v>73</v>
      </c>
      <c r="C96">
        <v>3030</v>
      </c>
      <c r="D96" s="3" t="s">
        <v>1502</v>
      </c>
      <c r="E96">
        <v>303010</v>
      </c>
      <c r="F96" s="3" t="s">
        <v>31</v>
      </c>
      <c r="G96">
        <v>30301010</v>
      </c>
      <c r="H96" s="3" t="s">
        <v>31</v>
      </c>
    </row>
    <row r="97" spans="1:8" x14ac:dyDescent="0.25">
      <c r="A97">
        <v>30</v>
      </c>
      <c r="B97" s="3" t="s">
        <v>73</v>
      </c>
      <c r="C97">
        <v>3030</v>
      </c>
      <c r="D97" s="3" t="s">
        <v>1502</v>
      </c>
      <c r="E97">
        <v>303020</v>
      </c>
      <c r="F97" s="3" t="s">
        <v>32</v>
      </c>
      <c r="G97">
        <v>30302010</v>
      </c>
      <c r="H97" s="3" t="s">
        <v>32</v>
      </c>
    </row>
    <row r="98" spans="1:8" x14ac:dyDescent="0.25">
      <c r="A98">
        <v>35</v>
      </c>
      <c r="B98" s="3" t="s">
        <v>76</v>
      </c>
      <c r="C98">
        <v>3510</v>
      </c>
      <c r="D98" s="3" t="s">
        <v>1503</v>
      </c>
      <c r="E98">
        <v>351010</v>
      </c>
      <c r="F98" s="3" t="s">
        <v>37</v>
      </c>
      <c r="G98">
        <v>35101010</v>
      </c>
      <c r="H98" s="3" t="s">
        <v>110</v>
      </c>
    </row>
    <row r="99" spans="1:8" x14ac:dyDescent="0.25">
      <c r="A99">
        <v>35</v>
      </c>
      <c r="B99" s="3" t="s">
        <v>76</v>
      </c>
      <c r="C99">
        <v>3510</v>
      </c>
      <c r="D99" s="3" t="s">
        <v>1503</v>
      </c>
      <c r="E99">
        <v>351010</v>
      </c>
      <c r="F99" s="3" t="s">
        <v>37</v>
      </c>
      <c r="G99">
        <v>35101020</v>
      </c>
      <c r="H99" s="3" t="s">
        <v>180</v>
      </c>
    </row>
    <row r="100" spans="1:8" x14ac:dyDescent="0.25">
      <c r="A100">
        <v>35</v>
      </c>
      <c r="B100" s="3" t="s">
        <v>76</v>
      </c>
      <c r="C100">
        <v>3510</v>
      </c>
      <c r="D100" s="3" t="s">
        <v>1503</v>
      </c>
      <c r="E100">
        <v>351020</v>
      </c>
      <c r="F100" s="3" t="s">
        <v>38</v>
      </c>
      <c r="G100">
        <v>35102010</v>
      </c>
      <c r="H100" s="3" t="s">
        <v>233</v>
      </c>
    </row>
    <row r="101" spans="1:8" x14ac:dyDescent="0.25">
      <c r="A101">
        <v>35</v>
      </c>
      <c r="B101" s="3" t="s">
        <v>76</v>
      </c>
      <c r="C101">
        <v>3510</v>
      </c>
      <c r="D101" s="3" t="s">
        <v>1503</v>
      </c>
      <c r="E101">
        <v>351020</v>
      </c>
      <c r="F101" s="3" t="s">
        <v>38</v>
      </c>
      <c r="G101">
        <v>35102015</v>
      </c>
      <c r="H101" s="3" t="s">
        <v>638</v>
      </c>
    </row>
    <row r="102" spans="1:8" x14ac:dyDescent="0.25">
      <c r="A102">
        <v>35</v>
      </c>
      <c r="B102" s="3" t="s">
        <v>76</v>
      </c>
      <c r="C102">
        <v>3510</v>
      </c>
      <c r="D102" s="3" t="s">
        <v>1503</v>
      </c>
      <c r="E102">
        <v>351020</v>
      </c>
      <c r="F102" s="3" t="s">
        <v>38</v>
      </c>
      <c r="G102">
        <v>35102020</v>
      </c>
      <c r="H102" s="3" t="s">
        <v>557</v>
      </c>
    </row>
    <row r="103" spans="1:8" x14ac:dyDescent="0.25">
      <c r="A103">
        <v>35</v>
      </c>
      <c r="B103" s="3" t="s">
        <v>76</v>
      </c>
      <c r="C103">
        <v>3510</v>
      </c>
      <c r="D103" s="3" t="s">
        <v>1503</v>
      </c>
      <c r="E103">
        <v>351020</v>
      </c>
      <c r="F103" s="3" t="s">
        <v>38</v>
      </c>
      <c r="G103">
        <v>35102030</v>
      </c>
      <c r="H103" s="3" t="s">
        <v>144</v>
      </c>
    </row>
    <row r="104" spans="1:8" x14ac:dyDescent="0.25">
      <c r="A104">
        <v>35</v>
      </c>
      <c r="B104" s="3" t="s">
        <v>76</v>
      </c>
      <c r="C104">
        <v>3510</v>
      </c>
      <c r="D104" s="3" t="s">
        <v>1503</v>
      </c>
      <c r="E104">
        <v>351030</v>
      </c>
      <c r="F104" s="3" t="s">
        <v>39</v>
      </c>
      <c r="G104">
        <v>35103010</v>
      </c>
      <c r="H104" s="3" t="s">
        <v>39</v>
      </c>
    </row>
    <row r="105" spans="1:8" x14ac:dyDescent="0.25">
      <c r="A105">
        <v>35</v>
      </c>
      <c r="B105" s="3" t="s">
        <v>76</v>
      </c>
      <c r="C105">
        <v>3520</v>
      </c>
      <c r="D105" s="3" t="s">
        <v>1504</v>
      </c>
      <c r="E105">
        <v>352010</v>
      </c>
      <c r="F105" s="3" t="s">
        <v>36</v>
      </c>
      <c r="G105">
        <v>35201010</v>
      </c>
      <c r="H105" s="3" t="s">
        <v>36</v>
      </c>
    </row>
    <row r="106" spans="1:8" x14ac:dyDescent="0.25">
      <c r="A106">
        <v>35</v>
      </c>
      <c r="B106" s="3" t="s">
        <v>76</v>
      </c>
      <c r="C106">
        <v>3520</v>
      </c>
      <c r="D106" s="3" t="s">
        <v>1504</v>
      </c>
      <c r="E106">
        <v>352020</v>
      </c>
      <c r="F106" s="3" t="s">
        <v>41</v>
      </c>
      <c r="G106">
        <v>35202010</v>
      </c>
      <c r="H106" s="3" t="s">
        <v>41</v>
      </c>
    </row>
    <row r="107" spans="1:8" x14ac:dyDescent="0.25">
      <c r="A107">
        <v>35</v>
      </c>
      <c r="B107" s="3" t="s">
        <v>76</v>
      </c>
      <c r="C107">
        <v>3520</v>
      </c>
      <c r="D107" s="3" t="s">
        <v>1504</v>
      </c>
      <c r="E107">
        <v>352030</v>
      </c>
      <c r="F107" s="3" t="s">
        <v>40</v>
      </c>
      <c r="G107">
        <v>35203010</v>
      </c>
      <c r="H107" s="3" t="s">
        <v>40</v>
      </c>
    </row>
    <row r="108" spans="1:8" x14ac:dyDescent="0.25">
      <c r="A108">
        <v>40</v>
      </c>
      <c r="B108" s="3" t="s">
        <v>75</v>
      </c>
      <c r="C108">
        <v>4010</v>
      </c>
      <c r="D108" s="3" t="s">
        <v>1505</v>
      </c>
      <c r="E108">
        <v>401010</v>
      </c>
      <c r="F108" s="3" t="s">
        <v>1505</v>
      </c>
      <c r="G108">
        <v>40101010</v>
      </c>
      <c r="H108" s="3" t="s">
        <v>327</v>
      </c>
    </row>
    <row r="109" spans="1:8" x14ac:dyDescent="0.25">
      <c r="A109">
        <v>40</v>
      </c>
      <c r="B109" s="3" t="s">
        <v>75</v>
      </c>
      <c r="C109">
        <v>4010</v>
      </c>
      <c r="D109" s="3" t="s">
        <v>1505</v>
      </c>
      <c r="E109">
        <v>401010</v>
      </c>
      <c r="F109" s="3" t="s">
        <v>1505</v>
      </c>
      <c r="G109">
        <v>40101015</v>
      </c>
      <c r="H109" s="3" t="s">
        <v>336</v>
      </c>
    </row>
    <row r="110" spans="1:8" x14ac:dyDescent="0.25">
      <c r="A110">
        <v>40</v>
      </c>
      <c r="B110" s="3" t="s">
        <v>75</v>
      </c>
      <c r="C110">
        <v>4010</v>
      </c>
      <c r="D110" s="3" t="s">
        <v>1505</v>
      </c>
      <c r="E110">
        <v>401020</v>
      </c>
      <c r="F110" s="3" t="s">
        <v>1132</v>
      </c>
      <c r="G110">
        <v>40102010</v>
      </c>
      <c r="H110" s="3" t="s">
        <v>1132</v>
      </c>
    </row>
    <row r="111" spans="1:8" x14ac:dyDescent="0.25">
      <c r="A111">
        <v>40</v>
      </c>
      <c r="B111" s="3" t="s">
        <v>75</v>
      </c>
      <c r="C111">
        <v>4020</v>
      </c>
      <c r="D111" s="3" t="s">
        <v>1506</v>
      </c>
      <c r="E111">
        <v>402010</v>
      </c>
      <c r="F111" s="3" t="s">
        <v>1507</v>
      </c>
      <c r="G111">
        <v>40201020</v>
      </c>
      <c r="H111" s="3" t="s">
        <v>1508</v>
      </c>
    </row>
    <row r="112" spans="1:8" x14ac:dyDescent="0.25">
      <c r="A112">
        <v>40</v>
      </c>
      <c r="B112" s="3" t="s">
        <v>75</v>
      </c>
      <c r="C112">
        <v>4020</v>
      </c>
      <c r="D112" s="3" t="s">
        <v>1506</v>
      </c>
      <c r="E112">
        <v>402010</v>
      </c>
      <c r="F112" s="3" t="s">
        <v>1507</v>
      </c>
      <c r="G112">
        <v>40201030</v>
      </c>
      <c r="H112" s="3" t="s">
        <v>343</v>
      </c>
    </row>
    <row r="113" spans="1:8" x14ac:dyDescent="0.25">
      <c r="A113">
        <v>40</v>
      </c>
      <c r="B113" s="3" t="s">
        <v>75</v>
      </c>
      <c r="C113">
        <v>4020</v>
      </c>
      <c r="D113" s="3" t="s">
        <v>1506</v>
      </c>
      <c r="E113">
        <v>402010</v>
      </c>
      <c r="F113" s="3" t="s">
        <v>1507</v>
      </c>
      <c r="G113">
        <v>40201040</v>
      </c>
      <c r="H113" s="3" t="s">
        <v>1509</v>
      </c>
    </row>
    <row r="114" spans="1:8" x14ac:dyDescent="0.25">
      <c r="A114">
        <v>40</v>
      </c>
      <c r="B114" s="3" t="s">
        <v>75</v>
      </c>
      <c r="C114">
        <v>4020</v>
      </c>
      <c r="D114" s="3" t="s">
        <v>1506</v>
      </c>
      <c r="E114">
        <v>402020</v>
      </c>
      <c r="F114" s="3" t="s">
        <v>0</v>
      </c>
      <c r="G114">
        <v>40202010</v>
      </c>
      <c r="H114" s="3" t="s">
        <v>0</v>
      </c>
    </row>
    <row r="115" spans="1:8" x14ac:dyDescent="0.25">
      <c r="A115">
        <v>40</v>
      </c>
      <c r="B115" s="3" t="s">
        <v>75</v>
      </c>
      <c r="C115">
        <v>4020</v>
      </c>
      <c r="D115" s="3" t="s">
        <v>1506</v>
      </c>
      <c r="E115">
        <v>402030</v>
      </c>
      <c r="F115" s="3" t="s">
        <v>1510</v>
      </c>
      <c r="G115">
        <v>40203010</v>
      </c>
      <c r="H115" s="3" t="s">
        <v>148</v>
      </c>
    </row>
    <row r="116" spans="1:8" x14ac:dyDescent="0.25">
      <c r="A116">
        <v>40</v>
      </c>
      <c r="B116" s="3" t="s">
        <v>75</v>
      </c>
      <c r="C116">
        <v>4020</v>
      </c>
      <c r="D116" s="3" t="s">
        <v>1506</v>
      </c>
      <c r="E116">
        <v>402030</v>
      </c>
      <c r="F116" s="3" t="s">
        <v>1510</v>
      </c>
      <c r="G116">
        <v>40203020</v>
      </c>
      <c r="H116" s="3" t="s">
        <v>441</v>
      </c>
    </row>
    <row r="117" spans="1:8" x14ac:dyDescent="0.25">
      <c r="A117">
        <v>40</v>
      </c>
      <c r="B117" s="3" t="s">
        <v>75</v>
      </c>
      <c r="C117">
        <v>4020</v>
      </c>
      <c r="D117" s="3" t="s">
        <v>1506</v>
      </c>
      <c r="E117">
        <v>402030</v>
      </c>
      <c r="F117" s="3" t="s">
        <v>1510</v>
      </c>
      <c r="G117">
        <v>40203030</v>
      </c>
      <c r="H117" s="3" t="s">
        <v>1511</v>
      </c>
    </row>
    <row r="118" spans="1:8" x14ac:dyDescent="0.25">
      <c r="A118">
        <v>40</v>
      </c>
      <c r="B118" s="3" t="s">
        <v>75</v>
      </c>
      <c r="C118">
        <v>4020</v>
      </c>
      <c r="D118" s="3" t="s">
        <v>1506</v>
      </c>
      <c r="E118">
        <v>402030</v>
      </c>
      <c r="F118" s="3" t="s">
        <v>1510</v>
      </c>
      <c r="G118">
        <v>40203040</v>
      </c>
      <c r="H118" s="3" t="s">
        <v>404</v>
      </c>
    </row>
    <row r="119" spans="1:8" x14ac:dyDescent="0.25">
      <c r="A119">
        <v>40</v>
      </c>
      <c r="B119" s="3" t="s">
        <v>75</v>
      </c>
      <c r="C119">
        <v>4020</v>
      </c>
      <c r="D119" s="3" t="s">
        <v>1506</v>
      </c>
      <c r="E119">
        <v>402040</v>
      </c>
      <c r="F119" s="3" t="s">
        <v>1512</v>
      </c>
      <c r="G119">
        <v>40204010</v>
      </c>
      <c r="H119" s="3" t="s">
        <v>1513</v>
      </c>
    </row>
    <row r="120" spans="1:8" x14ac:dyDescent="0.25">
      <c r="A120">
        <v>40</v>
      </c>
      <c r="B120" s="3" t="s">
        <v>75</v>
      </c>
      <c r="C120">
        <v>4030</v>
      </c>
      <c r="D120" s="3" t="s">
        <v>1</v>
      </c>
      <c r="E120">
        <v>403010</v>
      </c>
      <c r="F120" s="3" t="s">
        <v>1</v>
      </c>
      <c r="G120">
        <v>40301010</v>
      </c>
      <c r="H120" s="3" t="s">
        <v>264</v>
      </c>
    </row>
    <row r="121" spans="1:8" x14ac:dyDescent="0.25">
      <c r="A121">
        <v>40</v>
      </c>
      <c r="B121" s="3" t="s">
        <v>75</v>
      </c>
      <c r="C121">
        <v>4030</v>
      </c>
      <c r="D121" s="3" t="s">
        <v>1</v>
      </c>
      <c r="E121">
        <v>403010</v>
      </c>
      <c r="F121" s="3" t="s">
        <v>1</v>
      </c>
      <c r="G121">
        <v>40301020</v>
      </c>
      <c r="H121" s="3" t="s">
        <v>152</v>
      </c>
    </row>
    <row r="122" spans="1:8" x14ac:dyDescent="0.25">
      <c r="A122">
        <v>40</v>
      </c>
      <c r="B122" s="3" t="s">
        <v>75</v>
      </c>
      <c r="C122">
        <v>4030</v>
      </c>
      <c r="D122" s="3" t="s">
        <v>1</v>
      </c>
      <c r="E122">
        <v>403010</v>
      </c>
      <c r="F122" s="3" t="s">
        <v>1</v>
      </c>
      <c r="G122">
        <v>40301030</v>
      </c>
      <c r="H122" s="3" t="s">
        <v>297</v>
      </c>
    </row>
    <row r="123" spans="1:8" x14ac:dyDescent="0.25">
      <c r="A123">
        <v>40</v>
      </c>
      <c r="B123" s="3" t="s">
        <v>75</v>
      </c>
      <c r="C123">
        <v>4030</v>
      </c>
      <c r="D123" s="3" t="s">
        <v>1</v>
      </c>
      <c r="E123">
        <v>403010</v>
      </c>
      <c r="F123" s="3" t="s">
        <v>1</v>
      </c>
      <c r="G123">
        <v>40301040</v>
      </c>
      <c r="H123" s="3" t="s">
        <v>194</v>
      </c>
    </row>
    <row r="124" spans="1:8" x14ac:dyDescent="0.25">
      <c r="A124">
        <v>40</v>
      </c>
      <c r="B124" s="3" t="s">
        <v>75</v>
      </c>
      <c r="C124">
        <v>4030</v>
      </c>
      <c r="D124" s="3" t="s">
        <v>1</v>
      </c>
      <c r="E124">
        <v>403010</v>
      </c>
      <c r="F124" s="3" t="s">
        <v>1</v>
      </c>
      <c r="G124">
        <v>40301050</v>
      </c>
      <c r="H124" s="3" t="s">
        <v>662</v>
      </c>
    </row>
    <row r="125" spans="1:8" x14ac:dyDescent="0.25">
      <c r="A125">
        <v>45</v>
      </c>
      <c r="B125" s="3" t="s">
        <v>78</v>
      </c>
      <c r="C125">
        <v>4510</v>
      </c>
      <c r="D125" s="3" t="s">
        <v>1514</v>
      </c>
      <c r="E125">
        <v>451010</v>
      </c>
      <c r="F125" s="3" t="s">
        <v>59</v>
      </c>
      <c r="G125">
        <v>45101010</v>
      </c>
      <c r="H125" s="3" t="s">
        <v>59</v>
      </c>
    </row>
    <row r="126" spans="1:8" x14ac:dyDescent="0.25">
      <c r="A126">
        <v>45</v>
      </c>
      <c r="B126" s="3" t="s">
        <v>78</v>
      </c>
      <c r="C126">
        <v>4510</v>
      </c>
      <c r="D126" s="3" t="s">
        <v>1514</v>
      </c>
      <c r="E126">
        <v>451020</v>
      </c>
      <c r="F126" s="3" t="s">
        <v>58</v>
      </c>
      <c r="G126">
        <v>45102010</v>
      </c>
      <c r="H126" s="3" t="s">
        <v>116</v>
      </c>
    </row>
    <row r="127" spans="1:8" x14ac:dyDescent="0.25">
      <c r="A127">
        <v>45</v>
      </c>
      <c r="B127" s="3" t="s">
        <v>78</v>
      </c>
      <c r="C127">
        <v>4510</v>
      </c>
      <c r="D127" s="3" t="s">
        <v>1514</v>
      </c>
      <c r="E127">
        <v>451020</v>
      </c>
      <c r="F127" s="3" t="s">
        <v>58</v>
      </c>
      <c r="G127">
        <v>45102020</v>
      </c>
      <c r="H127" s="3" t="s">
        <v>187</v>
      </c>
    </row>
    <row r="128" spans="1:8" x14ac:dyDescent="0.25">
      <c r="A128">
        <v>45</v>
      </c>
      <c r="B128" s="3" t="s">
        <v>78</v>
      </c>
      <c r="C128">
        <v>4510</v>
      </c>
      <c r="D128" s="3" t="s">
        <v>1514</v>
      </c>
      <c r="E128">
        <v>451030</v>
      </c>
      <c r="F128" s="3" t="s">
        <v>61</v>
      </c>
      <c r="G128">
        <v>45103010</v>
      </c>
      <c r="H128" s="3" t="s">
        <v>128</v>
      </c>
    </row>
    <row r="129" spans="1:8" x14ac:dyDescent="0.25">
      <c r="A129">
        <v>45</v>
      </c>
      <c r="B129" s="3" t="s">
        <v>78</v>
      </c>
      <c r="C129">
        <v>4510</v>
      </c>
      <c r="D129" s="3" t="s">
        <v>1514</v>
      </c>
      <c r="E129">
        <v>451030</v>
      </c>
      <c r="F129" s="3" t="s">
        <v>61</v>
      </c>
      <c r="G129">
        <v>45103020</v>
      </c>
      <c r="H129" s="3" t="s">
        <v>386</v>
      </c>
    </row>
    <row r="130" spans="1:8" x14ac:dyDescent="0.25">
      <c r="A130">
        <v>45</v>
      </c>
      <c r="B130" s="3" t="s">
        <v>78</v>
      </c>
      <c r="C130">
        <v>4510</v>
      </c>
      <c r="D130" s="3" t="s">
        <v>1514</v>
      </c>
      <c r="E130">
        <v>451030</v>
      </c>
      <c r="F130" s="3" t="s">
        <v>61</v>
      </c>
      <c r="G130">
        <v>45103030</v>
      </c>
      <c r="H130" s="3" t="s">
        <v>120</v>
      </c>
    </row>
    <row r="131" spans="1:8" x14ac:dyDescent="0.25">
      <c r="A131">
        <v>45</v>
      </c>
      <c r="B131" s="3" t="s">
        <v>78</v>
      </c>
      <c r="C131">
        <v>4520</v>
      </c>
      <c r="D131" s="3" t="s">
        <v>1515</v>
      </c>
      <c r="E131">
        <v>452010</v>
      </c>
      <c r="F131" s="3" t="s">
        <v>56</v>
      </c>
      <c r="G131">
        <v>45201020</v>
      </c>
      <c r="H131" s="3" t="s">
        <v>56</v>
      </c>
    </row>
    <row r="132" spans="1:8" x14ac:dyDescent="0.25">
      <c r="A132">
        <v>45</v>
      </c>
      <c r="B132" s="3" t="s">
        <v>78</v>
      </c>
      <c r="C132">
        <v>4520</v>
      </c>
      <c r="D132" s="3" t="s">
        <v>1515</v>
      </c>
      <c r="E132">
        <v>452020</v>
      </c>
      <c r="F132" s="3" t="s">
        <v>62</v>
      </c>
      <c r="G132">
        <v>45202030</v>
      </c>
      <c r="H132" s="3" t="s">
        <v>62</v>
      </c>
    </row>
    <row r="133" spans="1:8" x14ac:dyDescent="0.25">
      <c r="A133">
        <v>45</v>
      </c>
      <c r="B133" s="3" t="s">
        <v>78</v>
      </c>
      <c r="C133">
        <v>4520</v>
      </c>
      <c r="D133" s="3" t="s">
        <v>1515</v>
      </c>
      <c r="E133">
        <v>452030</v>
      </c>
      <c r="F133" s="3" t="s">
        <v>57</v>
      </c>
      <c r="G133">
        <v>45203010</v>
      </c>
      <c r="H133" s="3" t="s">
        <v>707</v>
      </c>
    </row>
    <row r="134" spans="1:8" x14ac:dyDescent="0.25">
      <c r="A134">
        <v>45</v>
      </c>
      <c r="B134" s="3" t="s">
        <v>78</v>
      </c>
      <c r="C134">
        <v>4520</v>
      </c>
      <c r="D134" s="3" t="s">
        <v>1515</v>
      </c>
      <c r="E134">
        <v>452030</v>
      </c>
      <c r="F134" s="3" t="s">
        <v>57</v>
      </c>
      <c r="G134">
        <v>45203015</v>
      </c>
      <c r="H134" s="3" t="s">
        <v>243</v>
      </c>
    </row>
    <row r="135" spans="1:8" x14ac:dyDescent="0.25">
      <c r="A135">
        <v>45</v>
      </c>
      <c r="B135" s="3" t="s">
        <v>78</v>
      </c>
      <c r="C135">
        <v>4520</v>
      </c>
      <c r="D135" s="3" t="s">
        <v>1515</v>
      </c>
      <c r="E135">
        <v>452030</v>
      </c>
      <c r="F135" s="3" t="s">
        <v>57</v>
      </c>
      <c r="G135">
        <v>45203020</v>
      </c>
      <c r="H135" s="3" t="s">
        <v>1308</v>
      </c>
    </row>
    <row r="136" spans="1:8" x14ac:dyDescent="0.25">
      <c r="A136">
        <v>45</v>
      </c>
      <c r="B136" s="3" t="s">
        <v>78</v>
      </c>
      <c r="C136">
        <v>4520</v>
      </c>
      <c r="D136" s="3" t="s">
        <v>1515</v>
      </c>
      <c r="E136">
        <v>452030</v>
      </c>
      <c r="F136" s="3" t="s">
        <v>57</v>
      </c>
      <c r="G136">
        <v>45203030</v>
      </c>
      <c r="H136" s="3" t="s">
        <v>1516</v>
      </c>
    </row>
    <row r="137" spans="1:8" x14ac:dyDescent="0.25">
      <c r="A137">
        <v>45</v>
      </c>
      <c r="B137" s="3" t="s">
        <v>78</v>
      </c>
      <c r="C137">
        <v>4530</v>
      </c>
      <c r="D137" s="3" t="s">
        <v>60</v>
      </c>
      <c r="E137">
        <v>453010</v>
      </c>
      <c r="F137" s="3" t="s">
        <v>60</v>
      </c>
      <c r="G137">
        <v>45301010</v>
      </c>
      <c r="H137" s="3" t="s">
        <v>281</v>
      </c>
    </row>
    <row r="138" spans="1:8" x14ac:dyDescent="0.25">
      <c r="A138">
        <v>45</v>
      </c>
      <c r="B138" s="3" t="s">
        <v>78</v>
      </c>
      <c r="C138">
        <v>4530</v>
      </c>
      <c r="D138" s="3" t="s">
        <v>60</v>
      </c>
      <c r="E138">
        <v>453010</v>
      </c>
      <c r="F138" s="3" t="s">
        <v>60</v>
      </c>
      <c r="G138">
        <v>45301020</v>
      </c>
      <c r="H138" s="3" t="s">
        <v>132</v>
      </c>
    </row>
    <row r="139" spans="1:8" x14ac:dyDescent="0.25">
      <c r="A139">
        <v>50</v>
      </c>
      <c r="B139" s="3" t="s">
        <v>81</v>
      </c>
      <c r="C139">
        <v>5010</v>
      </c>
      <c r="D139" s="3" t="s">
        <v>81</v>
      </c>
      <c r="E139">
        <v>501010</v>
      </c>
      <c r="F139" s="3" t="s">
        <v>63</v>
      </c>
      <c r="G139">
        <v>50101010</v>
      </c>
      <c r="H139" s="3" t="s">
        <v>1517</v>
      </c>
    </row>
    <row r="140" spans="1:8" x14ac:dyDescent="0.25">
      <c r="A140">
        <v>50</v>
      </c>
      <c r="B140" s="3" t="s">
        <v>81</v>
      </c>
      <c r="C140">
        <v>5010</v>
      </c>
      <c r="D140" s="3" t="s">
        <v>81</v>
      </c>
      <c r="E140">
        <v>501010</v>
      </c>
      <c r="F140" s="3" t="s">
        <v>63</v>
      </c>
      <c r="G140">
        <v>50101020</v>
      </c>
      <c r="H140" s="3" t="s">
        <v>300</v>
      </c>
    </row>
    <row r="141" spans="1:8" x14ac:dyDescent="0.25">
      <c r="A141">
        <v>50</v>
      </c>
      <c r="B141" s="3" t="s">
        <v>81</v>
      </c>
      <c r="C141">
        <v>5010</v>
      </c>
      <c r="D141" s="3" t="s">
        <v>81</v>
      </c>
      <c r="E141">
        <v>501020</v>
      </c>
      <c r="F141" s="3" t="s">
        <v>64</v>
      </c>
      <c r="G141">
        <v>50102010</v>
      </c>
      <c r="H141" s="3" t="s">
        <v>64</v>
      </c>
    </row>
    <row r="142" spans="1:8" x14ac:dyDescent="0.25">
      <c r="A142">
        <v>55</v>
      </c>
      <c r="B142" s="3" t="s">
        <v>82</v>
      </c>
      <c r="C142">
        <v>5510</v>
      </c>
      <c r="D142" s="3" t="s">
        <v>82</v>
      </c>
      <c r="E142">
        <v>551010</v>
      </c>
      <c r="F142" s="3" t="s">
        <v>11</v>
      </c>
      <c r="G142">
        <v>55101010</v>
      </c>
      <c r="H142" s="3" t="s">
        <v>11</v>
      </c>
    </row>
    <row r="143" spans="1:8" x14ac:dyDescent="0.25">
      <c r="A143">
        <v>55</v>
      </c>
      <c r="B143" s="3" t="s">
        <v>82</v>
      </c>
      <c r="C143">
        <v>5510</v>
      </c>
      <c r="D143" s="3" t="s">
        <v>82</v>
      </c>
      <c r="E143">
        <v>551020</v>
      </c>
      <c r="F143" s="3" t="s">
        <v>12</v>
      </c>
      <c r="G143">
        <v>55102010</v>
      </c>
      <c r="H143" s="3" t="s">
        <v>12</v>
      </c>
    </row>
    <row r="144" spans="1:8" x14ac:dyDescent="0.25">
      <c r="A144">
        <v>55</v>
      </c>
      <c r="B144" s="3" t="s">
        <v>82</v>
      </c>
      <c r="C144">
        <v>5510</v>
      </c>
      <c r="D144" s="3" t="s">
        <v>82</v>
      </c>
      <c r="E144">
        <v>551030</v>
      </c>
      <c r="F144" s="3" t="s">
        <v>14</v>
      </c>
      <c r="G144">
        <v>55103010</v>
      </c>
      <c r="H144" s="3" t="s">
        <v>14</v>
      </c>
    </row>
    <row r="145" spans="1:8" x14ac:dyDescent="0.25">
      <c r="A145">
        <v>55</v>
      </c>
      <c r="B145" s="3" t="s">
        <v>82</v>
      </c>
      <c r="C145">
        <v>5510</v>
      </c>
      <c r="D145" s="3" t="s">
        <v>82</v>
      </c>
      <c r="E145">
        <v>551040</v>
      </c>
      <c r="F145" s="3" t="s">
        <v>15</v>
      </c>
      <c r="G145">
        <v>55104010</v>
      </c>
      <c r="H145" s="3" t="s">
        <v>15</v>
      </c>
    </row>
    <row r="146" spans="1:8" x14ac:dyDescent="0.25">
      <c r="A146">
        <v>55</v>
      </c>
      <c r="B146" s="3" t="s">
        <v>82</v>
      </c>
      <c r="C146">
        <v>5510</v>
      </c>
      <c r="D146" s="3" t="s">
        <v>82</v>
      </c>
      <c r="E146">
        <v>551050</v>
      </c>
      <c r="F146" s="3" t="s">
        <v>13</v>
      </c>
      <c r="G146">
        <v>55105010</v>
      </c>
      <c r="H146" s="3" t="s">
        <v>140</v>
      </c>
    </row>
    <row r="147" spans="1:8" x14ac:dyDescent="0.25">
      <c r="A147">
        <v>55</v>
      </c>
      <c r="B147" s="3" t="s">
        <v>82</v>
      </c>
      <c r="C147">
        <v>5510</v>
      </c>
      <c r="D147" s="3" t="s">
        <v>82</v>
      </c>
      <c r="E147">
        <v>551050</v>
      </c>
      <c r="F147" s="3" t="s">
        <v>13</v>
      </c>
      <c r="G147">
        <v>55105020</v>
      </c>
      <c r="H147" s="3" t="s">
        <v>1518</v>
      </c>
    </row>
    <row r="148" spans="1:8" x14ac:dyDescent="0.25">
      <c r="A148">
        <v>60</v>
      </c>
      <c r="B148" s="3" t="s">
        <v>80</v>
      </c>
      <c r="C148">
        <v>6010</v>
      </c>
      <c r="D148" s="3" t="s">
        <v>80</v>
      </c>
      <c r="E148">
        <v>601010</v>
      </c>
      <c r="F148" s="3" t="s">
        <v>1519</v>
      </c>
      <c r="G148">
        <v>60101010</v>
      </c>
      <c r="H148" s="3" t="s">
        <v>1520</v>
      </c>
    </row>
    <row r="149" spans="1:8" x14ac:dyDescent="0.25">
      <c r="A149">
        <v>60</v>
      </c>
      <c r="B149" s="3" t="s">
        <v>80</v>
      </c>
      <c r="C149">
        <v>6010</v>
      </c>
      <c r="D149" s="3" t="s">
        <v>80</v>
      </c>
      <c r="E149">
        <v>601010</v>
      </c>
      <c r="F149" s="3" t="s">
        <v>1519</v>
      </c>
      <c r="G149">
        <v>60101020</v>
      </c>
      <c r="H149" s="3" t="s">
        <v>605</v>
      </c>
    </row>
    <row r="150" spans="1:8" x14ac:dyDescent="0.25">
      <c r="A150">
        <v>60</v>
      </c>
      <c r="B150" s="3" t="s">
        <v>80</v>
      </c>
      <c r="C150">
        <v>6010</v>
      </c>
      <c r="D150" s="3" t="s">
        <v>80</v>
      </c>
      <c r="E150">
        <v>601010</v>
      </c>
      <c r="F150" s="3" t="s">
        <v>1519</v>
      </c>
      <c r="G150">
        <v>60101030</v>
      </c>
      <c r="H150" s="3" t="s">
        <v>819</v>
      </c>
    </row>
    <row r="151" spans="1:8" x14ac:dyDescent="0.25">
      <c r="A151">
        <v>60</v>
      </c>
      <c r="B151" s="3" t="s">
        <v>80</v>
      </c>
      <c r="C151">
        <v>6010</v>
      </c>
      <c r="D151" s="3" t="s">
        <v>80</v>
      </c>
      <c r="E151">
        <v>601010</v>
      </c>
      <c r="F151" s="3" t="s">
        <v>1519</v>
      </c>
      <c r="G151">
        <v>60101040</v>
      </c>
      <c r="H151" s="3" t="s">
        <v>173</v>
      </c>
    </row>
    <row r="152" spans="1:8" x14ac:dyDescent="0.25">
      <c r="A152">
        <v>60</v>
      </c>
      <c r="B152" s="3" t="s">
        <v>80</v>
      </c>
      <c r="C152">
        <v>6010</v>
      </c>
      <c r="D152" s="3" t="s">
        <v>80</v>
      </c>
      <c r="E152">
        <v>601010</v>
      </c>
      <c r="F152" s="3" t="s">
        <v>1519</v>
      </c>
      <c r="G152">
        <v>60101050</v>
      </c>
      <c r="H152" s="3" t="s">
        <v>788</v>
      </c>
    </row>
    <row r="153" spans="1:8" x14ac:dyDescent="0.25">
      <c r="A153">
        <v>60</v>
      </c>
      <c r="B153" s="3" t="s">
        <v>80</v>
      </c>
      <c r="C153">
        <v>6010</v>
      </c>
      <c r="D153" s="3" t="s">
        <v>80</v>
      </c>
      <c r="E153">
        <v>601010</v>
      </c>
      <c r="F153" s="3" t="s">
        <v>1519</v>
      </c>
      <c r="G153">
        <v>60101060</v>
      </c>
      <c r="H153" s="3" t="s">
        <v>274</v>
      </c>
    </row>
    <row r="154" spans="1:8" x14ac:dyDescent="0.25">
      <c r="A154">
        <v>60</v>
      </c>
      <c r="B154" s="3" t="s">
        <v>80</v>
      </c>
      <c r="C154">
        <v>6010</v>
      </c>
      <c r="D154" s="3" t="s">
        <v>80</v>
      </c>
      <c r="E154">
        <v>601010</v>
      </c>
      <c r="F154" s="3" t="s">
        <v>1519</v>
      </c>
      <c r="G154">
        <v>60101070</v>
      </c>
      <c r="H154" s="3" t="s">
        <v>690</v>
      </c>
    </row>
    <row r="155" spans="1:8" x14ac:dyDescent="0.25">
      <c r="A155">
        <v>60</v>
      </c>
      <c r="B155" s="3" t="s">
        <v>80</v>
      </c>
      <c r="C155">
        <v>6010</v>
      </c>
      <c r="D155" s="3" t="s">
        <v>80</v>
      </c>
      <c r="E155">
        <v>601010</v>
      </c>
      <c r="F155" s="3" t="s">
        <v>1519</v>
      </c>
      <c r="G155">
        <v>60101080</v>
      </c>
      <c r="H155" s="3" t="s">
        <v>223</v>
      </c>
    </row>
    <row r="156" spans="1:8" x14ac:dyDescent="0.25">
      <c r="A156">
        <v>60</v>
      </c>
      <c r="B156" s="3" t="s">
        <v>80</v>
      </c>
      <c r="C156">
        <v>6010</v>
      </c>
      <c r="D156" s="3" t="s">
        <v>80</v>
      </c>
      <c r="E156">
        <v>601020</v>
      </c>
      <c r="F156" s="3" t="s">
        <v>71</v>
      </c>
      <c r="G156">
        <v>60102010</v>
      </c>
      <c r="H156" s="3" t="s">
        <v>1521</v>
      </c>
    </row>
    <row r="157" spans="1:8" x14ac:dyDescent="0.25">
      <c r="A157">
        <v>60</v>
      </c>
      <c r="B157" s="3" t="s">
        <v>80</v>
      </c>
      <c r="C157">
        <v>6010</v>
      </c>
      <c r="D157" s="3" t="s">
        <v>80</v>
      </c>
      <c r="E157">
        <v>601020</v>
      </c>
      <c r="F157" s="3" t="s">
        <v>71</v>
      </c>
      <c r="G157">
        <v>60102020</v>
      </c>
      <c r="H157" s="3" t="s">
        <v>1522</v>
      </c>
    </row>
    <row r="158" spans="1:8" x14ac:dyDescent="0.25">
      <c r="A158">
        <v>60</v>
      </c>
      <c r="B158" s="3" t="s">
        <v>80</v>
      </c>
      <c r="C158">
        <v>6010</v>
      </c>
      <c r="D158" s="3" t="s">
        <v>80</v>
      </c>
      <c r="E158">
        <v>601020</v>
      </c>
      <c r="F158" s="3" t="s">
        <v>71</v>
      </c>
      <c r="G158">
        <v>60102030</v>
      </c>
      <c r="H158" s="3" t="s">
        <v>1523</v>
      </c>
    </row>
    <row r="159" spans="1:8" x14ac:dyDescent="0.25">
      <c r="A159">
        <v>60</v>
      </c>
      <c r="B159" s="3" t="s">
        <v>80</v>
      </c>
      <c r="C159">
        <v>6010</v>
      </c>
      <c r="D159" s="3" t="s">
        <v>80</v>
      </c>
      <c r="E159">
        <v>601020</v>
      </c>
      <c r="F159" s="3" t="s">
        <v>71</v>
      </c>
      <c r="G159">
        <v>60102040</v>
      </c>
      <c r="H159" s="3" t="s">
        <v>417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9E30C-67E0-4A55-AA0C-D38196603C11}">
  <dimension ref="A1:I506"/>
  <sheetViews>
    <sheetView topLeftCell="E1" workbookViewId="0">
      <selection activeCell="A98" sqref="A98"/>
    </sheetView>
  </sheetViews>
  <sheetFormatPr defaultRowHeight="12.5" x14ac:dyDescent="0.25"/>
  <cols>
    <col min="1" max="1" width="15.26953125" bestFit="1" customWidth="1"/>
    <col min="2" max="2" width="31.36328125" bestFit="1" customWidth="1"/>
    <col min="3" max="3" width="12.453125" bestFit="1" customWidth="1"/>
    <col min="4" max="4" width="23.6328125" bestFit="1" customWidth="1"/>
    <col min="5" max="5" width="40.453125" bestFit="1" customWidth="1"/>
    <col min="6" max="6" width="31.08984375" bestFit="1" customWidth="1"/>
    <col min="7" max="7" width="16.90625" bestFit="1" customWidth="1"/>
    <col min="8" max="8" width="7.81640625" bestFit="1" customWidth="1"/>
    <col min="9" max="9" width="47.08984375" bestFit="1" customWidth="1"/>
  </cols>
  <sheetData>
    <row r="1" spans="1:9" ht="13" x14ac:dyDescent="0.3">
      <c r="A1" s="31" t="s">
        <v>96</v>
      </c>
      <c r="B1" s="31" t="s">
        <v>97</v>
      </c>
      <c r="C1" s="31" t="s">
        <v>98</v>
      </c>
      <c r="D1" s="31" t="s">
        <v>99</v>
      </c>
      <c r="E1" s="31" t="s">
        <v>100</v>
      </c>
      <c r="F1" s="31" t="s">
        <v>101</v>
      </c>
      <c r="G1" s="31" t="s">
        <v>102</v>
      </c>
      <c r="H1" s="31" t="s">
        <v>103</v>
      </c>
      <c r="I1" s="32" t="s">
        <v>86</v>
      </c>
    </row>
    <row r="2" spans="1:9" x14ac:dyDescent="0.25">
      <c r="A2" s="25" t="s">
        <v>104</v>
      </c>
      <c r="B2" s="25" t="s">
        <v>105</v>
      </c>
      <c r="C2" s="25" t="s">
        <v>106</v>
      </c>
      <c r="D2" s="25" t="s">
        <v>77</v>
      </c>
      <c r="E2" s="25" t="s">
        <v>49</v>
      </c>
      <c r="F2" s="25" t="s">
        <v>107</v>
      </c>
      <c r="G2" s="26"/>
      <c r="H2" s="27">
        <v>66740</v>
      </c>
      <c r="I2" s="25" t="str">
        <f>VLOOKUP('S&amp;P 500'!$E2,'Converted GISC'!$A$1:$C$159,2,FALSE)</f>
        <v>Industrial Conglomerates</v>
      </c>
    </row>
    <row r="3" spans="1:9" x14ac:dyDescent="0.25">
      <c r="A3" s="28" t="s">
        <v>108</v>
      </c>
      <c r="B3" s="28" t="s">
        <v>109</v>
      </c>
      <c r="C3" s="28" t="s">
        <v>106</v>
      </c>
      <c r="D3" s="28" t="s">
        <v>76</v>
      </c>
      <c r="E3" s="28" t="s">
        <v>110</v>
      </c>
      <c r="F3" s="28" t="s">
        <v>111</v>
      </c>
      <c r="G3" s="29">
        <v>23467</v>
      </c>
      <c r="H3" s="30">
        <v>1800</v>
      </c>
      <c r="I3" s="28" t="str">
        <f>VLOOKUP('S&amp;P 500'!$E3,'Converted GISC'!$A$1:$C$159,2,FALSE)</f>
        <v>Health Care Equipment &amp; Supplies</v>
      </c>
    </row>
    <row r="4" spans="1:9" x14ac:dyDescent="0.25">
      <c r="A4" s="25" t="s">
        <v>112</v>
      </c>
      <c r="B4" s="25" t="s">
        <v>113</v>
      </c>
      <c r="C4" s="25" t="s">
        <v>106</v>
      </c>
      <c r="D4" s="25" t="s">
        <v>76</v>
      </c>
      <c r="E4" s="25" t="s">
        <v>41</v>
      </c>
      <c r="F4" s="25" t="s">
        <v>111</v>
      </c>
      <c r="G4" s="26">
        <v>41274</v>
      </c>
      <c r="H4" s="27">
        <v>1551152</v>
      </c>
      <c r="I4" s="25" t="str">
        <f>VLOOKUP('S&amp;P 500'!$E4,'Converted GISC'!$A$1:$C$159,2,FALSE)</f>
        <v>Pharmaceuticals</v>
      </c>
    </row>
    <row r="5" spans="1:9" x14ac:dyDescent="0.25">
      <c r="A5" s="28" t="s">
        <v>114</v>
      </c>
      <c r="B5" s="28" t="s">
        <v>115</v>
      </c>
      <c r="C5" s="28" t="s">
        <v>106</v>
      </c>
      <c r="D5" s="28" t="s">
        <v>78</v>
      </c>
      <c r="E5" s="28" t="s">
        <v>116</v>
      </c>
      <c r="F5" s="28" t="s">
        <v>117</v>
      </c>
      <c r="G5" s="29">
        <v>40730</v>
      </c>
      <c r="H5" s="30">
        <v>1467373</v>
      </c>
      <c r="I5" s="28" t="str">
        <f>VLOOKUP('S&amp;P 500'!$E5,'Converted GISC'!$A$1:$C$159,2,FALSE)</f>
        <v>IT Services</v>
      </c>
    </row>
    <row r="6" spans="1:9" x14ac:dyDescent="0.25">
      <c r="A6" s="25" t="s">
        <v>118</v>
      </c>
      <c r="B6" s="25" t="s">
        <v>119</v>
      </c>
      <c r="C6" s="25" t="s">
        <v>106</v>
      </c>
      <c r="D6" s="25" t="s">
        <v>78</v>
      </c>
      <c r="E6" s="25" t="s">
        <v>120</v>
      </c>
      <c r="F6" s="25" t="s">
        <v>121</v>
      </c>
      <c r="G6" s="26">
        <v>42247</v>
      </c>
      <c r="H6" s="27">
        <v>718877</v>
      </c>
      <c r="I6" s="25" t="str">
        <f>VLOOKUP('S&amp;P 500'!$E6,'Converted GISC'!$A$1:$C$159,2,FALSE)</f>
        <v>Software</v>
      </c>
    </row>
    <row r="7" spans="1:9" x14ac:dyDescent="0.25">
      <c r="A7" s="28" t="s">
        <v>122</v>
      </c>
      <c r="B7" s="28" t="s">
        <v>123</v>
      </c>
      <c r="C7" s="28" t="s">
        <v>106</v>
      </c>
      <c r="D7" s="28" t="s">
        <v>77</v>
      </c>
      <c r="E7" s="28" t="s">
        <v>124</v>
      </c>
      <c r="F7" s="28" t="s">
        <v>125</v>
      </c>
      <c r="G7" s="29">
        <v>42493</v>
      </c>
      <c r="H7" s="30">
        <v>1144215</v>
      </c>
      <c r="I7" s="28" t="str">
        <f>VLOOKUP('S&amp;P 500'!$E7,'Converted GISC'!$A$1:$C$159,2,FALSE)</f>
        <v>Electrical Equipment</v>
      </c>
    </row>
    <row r="8" spans="1:9" x14ac:dyDescent="0.25">
      <c r="A8" s="25" t="s">
        <v>126</v>
      </c>
      <c r="B8" s="25" t="s">
        <v>127</v>
      </c>
      <c r="C8" s="25" t="s">
        <v>106</v>
      </c>
      <c r="D8" s="25" t="s">
        <v>78</v>
      </c>
      <c r="E8" s="25" t="s">
        <v>128</v>
      </c>
      <c r="F8" s="25" t="s">
        <v>129</v>
      </c>
      <c r="G8" s="26">
        <v>35555</v>
      </c>
      <c r="H8" s="27">
        <v>796343</v>
      </c>
      <c r="I8" s="25" t="str">
        <f>VLOOKUP('S&amp;P 500'!$E8,'Converted GISC'!$A$1:$C$159,2,FALSE)</f>
        <v>Software</v>
      </c>
    </row>
    <row r="9" spans="1:9" x14ac:dyDescent="0.25">
      <c r="A9" s="28" t="s">
        <v>130</v>
      </c>
      <c r="B9" s="28" t="s">
        <v>131</v>
      </c>
      <c r="C9" s="28" t="s">
        <v>106</v>
      </c>
      <c r="D9" s="28" t="s">
        <v>78</v>
      </c>
      <c r="E9" s="28" t="s">
        <v>132</v>
      </c>
      <c r="F9" s="28" t="s">
        <v>133</v>
      </c>
      <c r="G9" s="29">
        <v>42814</v>
      </c>
      <c r="H9" s="30">
        <v>2488</v>
      </c>
      <c r="I9" s="28" t="str">
        <f>VLOOKUP('S&amp;P 500'!$E9,'Converted GISC'!$A$1:$C$159,2,FALSE)</f>
        <v>Semiconductors &amp; Semiconductor Equipment</v>
      </c>
    </row>
    <row r="10" spans="1:9" x14ac:dyDescent="0.25">
      <c r="A10" s="25" t="s">
        <v>134</v>
      </c>
      <c r="B10" s="25" t="s">
        <v>135</v>
      </c>
      <c r="C10" s="25" t="s">
        <v>106</v>
      </c>
      <c r="D10" s="25" t="s">
        <v>72</v>
      </c>
      <c r="E10" s="25" t="s">
        <v>136</v>
      </c>
      <c r="F10" s="25" t="s">
        <v>137</v>
      </c>
      <c r="G10" s="26">
        <v>42194</v>
      </c>
      <c r="H10" s="27">
        <v>1158449</v>
      </c>
      <c r="I10" s="25" t="str">
        <f>VLOOKUP('S&amp;P 500'!$E10,'Converted GISC'!$A$1:$C$159,2,FALSE)</f>
        <v>Specialty Retail</v>
      </c>
    </row>
    <row r="11" spans="1:9" x14ac:dyDescent="0.25">
      <c r="A11" s="28" t="s">
        <v>138</v>
      </c>
      <c r="B11" s="28" t="s">
        <v>139</v>
      </c>
      <c r="C11" s="28" t="s">
        <v>106</v>
      </c>
      <c r="D11" s="28" t="s">
        <v>82</v>
      </c>
      <c r="E11" s="28" t="s">
        <v>140</v>
      </c>
      <c r="F11" s="28" t="s">
        <v>141</v>
      </c>
      <c r="G11" s="29"/>
      <c r="H11" s="30">
        <v>874761</v>
      </c>
      <c r="I11" s="28" t="str">
        <f>VLOOKUP('S&amp;P 500'!$E11,'Converted GISC'!$A$1:$C$159,2,FALSE)</f>
        <v>Independent Power and Renewable Electricity Producers</v>
      </c>
    </row>
    <row r="12" spans="1:9" x14ac:dyDescent="0.25">
      <c r="A12" s="25" t="s">
        <v>142</v>
      </c>
      <c r="B12" s="25" t="s">
        <v>143</v>
      </c>
      <c r="C12" s="25" t="s">
        <v>106</v>
      </c>
      <c r="D12" s="25" t="s">
        <v>76</v>
      </c>
      <c r="E12" s="25" t="s">
        <v>144</v>
      </c>
      <c r="F12" s="25" t="s">
        <v>145</v>
      </c>
      <c r="G12" s="26">
        <v>27941</v>
      </c>
      <c r="H12" s="27">
        <v>1122304</v>
      </c>
      <c r="I12" s="25" t="str">
        <f>VLOOKUP('S&amp;P 500'!$E12,'Converted GISC'!$A$1:$C$159,2,FALSE)</f>
        <v>Health Care Providers &amp; Services</v>
      </c>
    </row>
    <row r="13" spans="1:9" x14ac:dyDescent="0.25">
      <c r="A13" s="28" t="s">
        <v>146</v>
      </c>
      <c r="B13" s="28" t="s">
        <v>147</v>
      </c>
      <c r="C13" s="28" t="s">
        <v>106</v>
      </c>
      <c r="D13" s="28" t="s">
        <v>75</v>
      </c>
      <c r="E13" s="28" t="s">
        <v>148</v>
      </c>
      <c r="F13" s="28" t="s">
        <v>149</v>
      </c>
      <c r="G13" s="29">
        <v>41821</v>
      </c>
      <c r="H13" s="30">
        <v>1004434</v>
      </c>
      <c r="I13" s="28" t="str">
        <f>VLOOKUP('S&amp;P 500'!$E13,'Converted GISC'!$A$1:$C$159,2,FALSE)</f>
        <v>Capital Markets</v>
      </c>
    </row>
    <row r="14" spans="1:9" x14ac:dyDescent="0.25">
      <c r="A14" s="25" t="s">
        <v>150</v>
      </c>
      <c r="B14" s="25" t="s">
        <v>151</v>
      </c>
      <c r="C14" s="25" t="s">
        <v>106</v>
      </c>
      <c r="D14" s="25" t="s">
        <v>75</v>
      </c>
      <c r="E14" s="25" t="s">
        <v>152</v>
      </c>
      <c r="F14" s="25" t="s">
        <v>153</v>
      </c>
      <c r="G14" s="26"/>
      <c r="H14" s="27">
        <v>4977</v>
      </c>
      <c r="I14" s="25" t="str">
        <f>VLOOKUP('S&amp;P 500'!$E14,'Converted GISC'!$A$1:$C$159,2,FALSE)</f>
        <v>Insurance</v>
      </c>
    </row>
    <row r="15" spans="1:9" x14ac:dyDescent="0.25">
      <c r="A15" s="28" t="s">
        <v>154</v>
      </c>
      <c r="B15" s="28" t="s">
        <v>155</v>
      </c>
      <c r="C15" s="28" t="s">
        <v>106</v>
      </c>
      <c r="D15" s="28" t="s">
        <v>76</v>
      </c>
      <c r="E15" s="28" t="s">
        <v>110</v>
      </c>
      <c r="F15" s="28" t="s">
        <v>156</v>
      </c>
      <c r="G15" s="29">
        <v>36682</v>
      </c>
      <c r="H15" s="30">
        <v>1090872</v>
      </c>
      <c r="I15" s="28" t="str">
        <f>VLOOKUP('S&amp;P 500'!$E15,'Converted GISC'!$A$1:$C$159,2,FALSE)</f>
        <v>Health Care Equipment &amp; Supplies</v>
      </c>
    </row>
    <row r="16" spans="1:9" x14ac:dyDescent="0.25">
      <c r="A16" s="25" t="s">
        <v>157</v>
      </c>
      <c r="B16" s="25" t="s">
        <v>158</v>
      </c>
      <c r="C16" s="25" t="s">
        <v>106</v>
      </c>
      <c r="D16" s="25" t="s">
        <v>79</v>
      </c>
      <c r="E16" s="25" t="s">
        <v>159</v>
      </c>
      <c r="F16" s="25" t="s">
        <v>160</v>
      </c>
      <c r="G16" s="26">
        <v>31167</v>
      </c>
      <c r="H16" s="27">
        <v>2969</v>
      </c>
      <c r="I16" s="25" t="str">
        <f>VLOOKUP('S&amp;P 500'!$E16,'Converted GISC'!$A$1:$C$159,2,FALSE)</f>
        <v>Chemicals</v>
      </c>
    </row>
    <row r="17" spans="1:9" x14ac:dyDescent="0.25">
      <c r="A17" s="28" t="s">
        <v>161</v>
      </c>
      <c r="B17" s="28" t="s">
        <v>162</v>
      </c>
      <c r="C17" s="28" t="s">
        <v>106</v>
      </c>
      <c r="D17" s="28" t="s">
        <v>78</v>
      </c>
      <c r="E17" s="28" t="s">
        <v>59</v>
      </c>
      <c r="F17" s="28" t="s">
        <v>163</v>
      </c>
      <c r="G17" s="29">
        <v>39275</v>
      </c>
      <c r="H17" s="30">
        <v>1086222</v>
      </c>
      <c r="I17" s="28" t="str">
        <f>VLOOKUP('S&amp;P 500'!$E17,'Converted GISC'!$A$1:$C$159,2,FALSE)</f>
        <v>Internet Software &amp; Services</v>
      </c>
    </row>
    <row r="18" spans="1:9" x14ac:dyDescent="0.25">
      <c r="A18" s="25" t="s">
        <v>164</v>
      </c>
      <c r="B18" s="25" t="s">
        <v>165</v>
      </c>
      <c r="C18" s="25" t="s">
        <v>106</v>
      </c>
      <c r="D18" s="25" t="s">
        <v>77</v>
      </c>
      <c r="E18" s="25" t="s">
        <v>44</v>
      </c>
      <c r="F18" s="25" t="s">
        <v>166</v>
      </c>
      <c r="G18" s="26">
        <v>42503</v>
      </c>
      <c r="H18" s="27">
        <v>766421</v>
      </c>
      <c r="I18" s="25" t="str">
        <f>VLOOKUP('S&amp;P 500'!$E18,'Converted GISC'!$A$1:$C$159,2,FALSE)</f>
        <v>Airlines</v>
      </c>
    </row>
    <row r="19" spans="1:9" x14ac:dyDescent="0.25">
      <c r="A19" s="28" t="s">
        <v>167</v>
      </c>
      <c r="B19" s="28" t="s">
        <v>168</v>
      </c>
      <c r="C19" s="28" t="s">
        <v>106</v>
      </c>
      <c r="D19" s="28" t="s">
        <v>79</v>
      </c>
      <c r="E19" s="28" t="s">
        <v>169</v>
      </c>
      <c r="F19" s="28" t="s">
        <v>170</v>
      </c>
      <c r="G19" s="29">
        <v>42552</v>
      </c>
      <c r="H19" s="30">
        <v>915913</v>
      </c>
      <c r="I19" s="28" t="str">
        <f>VLOOKUP('S&amp;P 500'!$E19,'Converted GISC'!$A$1:$C$159,2,FALSE)</f>
        <v>Chemicals</v>
      </c>
    </row>
    <row r="20" spans="1:9" x14ac:dyDescent="0.25">
      <c r="A20" s="25" t="s">
        <v>171</v>
      </c>
      <c r="B20" s="25" t="s">
        <v>172</v>
      </c>
      <c r="C20" s="25" t="s">
        <v>106</v>
      </c>
      <c r="D20" s="25" t="s">
        <v>80</v>
      </c>
      <c r="E20" s="25" t="s">
        <v>173</v>
      </c>
      <c r="F20" s="25" t="s">
        <v>174</v>
      </c>
      <c r="G20" s="26">
        <v>42814</v>
      </c>
      <c r="H20" s="27">
        <v>1035443</v>
      </c>
      <c r="I20" s="25" t="str">
        <f>VLOOKUP('S&amp;P 500'!$E20,'Converted GISC'!$A$1:$C$159,2,FALSE)</f>
        <v>Equity Real Estate Investment Trusts (REITs)</v>
      </c>
    </row>
    <row r="21" spans="1:9" x14ac:dyDescent="0.25">
      <c r="A21" s="28" t="s">
        <v>175</v>
      </c>
      <c r="B21" s="28" t="s">
        <v>176</v>
      </c>
      <c r="C21" s="28" t="s">
        <v>106</v>
      </c>
      <c r="D21" s="28" t="s">
        <v>76</v>
      </c>
      <c r="E21" s="28" t="s">
        <v>36</v>
      </c>
      <c r="F21" s="28" t="s">
        <v>177</v>
      </c>
      <c r="G21" s="29">
        <v>41054</v>
      </c>
      <c r="H21" s="30">
        <v>899866</v>
      </c>
      <c r="I21" s="28" t="str">
        <f>VLOOKUP('S&amp;P 500'!$E21,'Converted GISC'!$A$1:$C$159,2,FALSE)</f>
        <v>Biotechnology</v>
      </c>
    </row>
    <row r="22" spans="1:9" x14ac:dyDescent="0.25">
      <c r="A22" s="25" t="s">
        <v>178</v>
      </c>
      <c r="B22" s="25" t="s">
        <v>179</v>
      </c>
      <c r="C22" s="25" t="s">
        <v>106</v>
      </c>
      <c r="D22" s="25" t="s">
        <v>76</v>
      </c>
      <c r="E22" s="25" t="s">
        <v>180</v>
      </c>
      <c r="F22" s="25" t="s">
        <v>129</v>
      </c>
      <c r="G22" s="26">
        <v>42905</v>
      </c>
      <c r="H22" s="27">
        <v>1097149</v>
      </c>
      <c r="I22" s="25" t="str">
        <f>VLOOKUP('S&amp;P 500'!$E22,'Converted GISC'!$A$1:$C$159,2,FALSE)</f>
        <v>Health Care Equipment &amp; Supplies</v>
      </c>
    </row>
    <row r="23" spans="1:9" x14ac:dyDescent="0.25">
      <c r="A23" s="28" t="s">
        <v>181</v>
      </c>
      <c r="B23" s="28" t="s">
        <v>182</v>
      </c>
      <c r="C23" s="28" t="s">
        <v>106</v>
      </c>
      <c r="D23" s="28" t="s">
        <v>77</v>
      </c>
      <c r="E23" s="28" t="s">
        <v>45</v>
      </c>
      <c r="F23" s="28" t="s">
        <v>117</v>
      </c>
      <c r="G23" s="29">
        <v>41610</v>
      </c>
      <c r="H23" s="30">
        <v>1579241</v>
      </c>
      <c r="I23" s="28" t="str">
        <f>VLOOKUP('S&amp;P 500'!$E23,'Converted GISC'!$A$1:$C$159,2,FALSE)</f>
        <v>Building Products</v>
      </c>
    </row>
    <row r="24" spans="1:9" x14ac:dyDescent="0.25">
      <c r="A24" s="25" t="s">
        <v>183</v>
      </c>
      <c r="B24" s="25" t="s">
        <v>184</v>
      </c>
      <c r="C24" s="25" t="s">
        <v>106</v>
      </c>
      <c r="D24" s="25" t="s">
        <v>76</v>
      </c>
      <c r="E24" s="25" t="s">
        <v>41</v>
      </c>
      <c r="F24" s="25" t="s">
        <v>117</v>
      </c>
      <c r="G24" s="26"/>
      <c r="H24" s="27">
        <v>1578845</v>
      </c>
      <c r="I24" s="25" t="str">
        <f>VLOOKUP('S&amp;P 500'!$E24,'Converted GISC'!$A$1:$C$159,2,FALSE)</f>
        <v>Pharmaceuticals</v>
      </c>
    </row>
    <row r="25" spans="1:9" x14ac:dyDescent="0.25">
      <c r="A25" s="28" t="s">
        <v>185</v>
      </c>
      <c r="B25" s="28" t="s">
        <v>186</v>
      </c>
      <c r="C25" s="28" t="s">
        <v>106</v>
      </c>
      <c r="D25" s="28" t="s">
        <v>78</v>
      </c>
      <c r="E25" s="28" t="s">
        <v>187</v>
      </c>
      <c r="F25" s="28" t="s">
        <v>188</v>
      </c>
      <c r="G25" s="29">
        <v>41631</v>
      </c>
      <c r="H25" s="30">
        <v>1101215</v>
      </c>
      <c r="I25" s="28" t="str">
        <f>VLOOKUP('S&amp;P 500'!$E25,'Converted GISC'!$A$1:$C$159,2,FALSE)</f>
        <v>IT Services</v>
      </c>
    </row>
    <row r="26" spans="1:9" x14ac:dyDescent="0.25">
      <c r="A26" s="25" t="s">
        <v>189</v>
      </c>
      <c r="B26" s="25" t="s">
        <v>190</v>
      </c>
      <c r="C26" s="25" t="s">
        <v>106</v>
      </c>
      <c r="D26" s="25" t="s">
        <v>82</v>
      </c>
      <c r="E26" s="25" t="s">
        <v>11</v>
      </c>
      <c r="F26" s="25" t="s">
        <v>191</v>
      </c>
      <c r="G26" s="26">
        <v>42552</v>
      </c>
      <c r="H26" s="27">
        <v>352541</v>
      </c>
      <c r="I26" s="25" t="str">
        <f>VLOOKUP('S&amp;P 500'!$E26,'Converted GISC'!$A$1:$C$159,2,FALSE)</f>
        <v>Electric Utilities</v>
      </c>
    </row>
    <row r="27" spans="1:9" x14ac:dyDescent="0.25">
      <c r="A27" s="28" t="s">
        <v>192</v>
      </c>
      <c r="B27" s="28" t="s">
        <v>193</v>
      </c>
      <c r="C27" s="28" t="s">
        <v>106</v>
      </c>
      <c r="D27" s="28" t="s">
        <v>75</v>
      </c>
      <c r="E27" s="28" t="s">
        <v>194</v>
      </c>
      <c r="F27" s="28" t="s">
        <v>195</v>
      </c>
      <c r="G27" s="29"/>
      <c r="H27" s="30">
        <v>899051</v>
      </c>
      <c r="I27" s="28" t="str">
        <f>VLOOKUP('S&amp;P 500'!$E27,'Converted GISC'!$A$1:$C$159,2,FALSE)</f>
        <v>Insurance</v>
      </c>
    </row>
    <row r="28" spans="1:9" x14ac:dyDescent="0.25">
      <c r="A28" s="25" t="s">
        <v>196</v>
      </c>
      <c r="B28" s="25" t="s">
        <v>197</v>
      </c>
      <c r="C28" s="25" t="s">
        <v>106</v>
      </c>
      <c r="D28" s="25" t="s">
        <v>78</v>
      </c>
      <c r="E28" s="25" t="s">
        <v>59</v>
      </c>
      <c r="F28" s="25" t="s">
        <v>198</v>
      </c>
      <c r="G28" s="26">
        <v>41732</v>
      </c>
      <c r="H28" s="27">
        <v>1652044</v>
      </c>
      <c r="I28" s="25" t="str">
        <f>VLOOKUP('S&amp;P 500'!$E28,'Converted GISC'!$A$1:$C$159,2,FALSE)</f>
        <v>Internet Software &amp; Services</v>
      </c>
    </row>
    <row r="29" spans="1:9" x14ac:dyDescent="0.25">
      <c r="A29" s="28" t="s">
        <v>199</v>
      </c>
      <c r="B29" s="28" t="s">
        <v>200</v>
      </c>
      <c r="C29" s="28" t="s">
        <v>106</v>
      </c>
      <c r="D29" s="28" t="s">
        <v>78</v>
      </c>
      <c r="E29" s="28" t="s">
        <v>59</v>
      </c>
      <c r="F29" s="28" t="s">
        <v>198</v>
      </c>
      <c r="G29" s="29"/>
      <c r="H29" s="30">
        <v>1652044</v>
      </c>
      <c r="I29" s="28" t="str">
        <f>VLOOKUP('S&amp;P 500'!$E29,'Converted GISC'!$A$1:$C$159,2,FALSE)</f>
        <v>Internet Software &amp; Services</v>
      </c>
    </row>
    <row r="30" spans="1:9" x14ac:dyDescent="0.25">
      <c r="A30" s="25" t="s">
        <v>201</v>
      </c>
      <c r="B30" s="25" t="s">
        <v>202</v>
      </c>
      <c r="C30" s="25" t="s">
        <v>106</v>
      </c>
      <c r="D30" s="25" t="s">
        <v>73</v>
      </c>
      <c r="E30" s="25" t="s">
        <v>33</v>
      </c>
      <c r="F30" s="25" t="s">
        <v>203</v>
      </c>
      <c r="G30" s="26"/>
      <c r="H30" s="27">
        <v>764180</v>
      </c>
      <c r="I30" s="25" t="str">
        <f>VLOOKUP('S&amp;P 500'!$E30,'Converted GISC'!$A$1:$C$159,2,FALSE)</f>
        <v>Tobacco</v>
      </c>
    </row>
    <row r="31" spans="1:9" x14ac:dyDescent="0.25">
      <c r="A31" s="28" t="s">
        <v>204</v>
      </c>
      <c r="B31" s="28" t="s">
        <v>205</v>
      </c>
      <c r="C31" s="28" t="s">
        <v>106</v>
      </c>
      <c r="D31" s="28" t="s">
        <v>72</v>
      </c>
      <c r="E31" s="28" t="s">
        <v>206</v>
      </c>
      <c r="F31" s="28" t="s">
        <v>166</v>
      </c>
      <c r="G31" s="29">
        <v>38674</v>
      </c>
      <c r="H31" s="30">
        <v>1018724</v>
      </c>
      <c r="I31" s="28" t="str">
        <f>VLOOKUP('S&amp;P 500'!$E31,'Converted GISC'!$A$1:$C$159,2,FALSE)</f>
        <v>Internet &amp; Direct Marketing Retail</v>
      </c>
    </row>
    <row r="32" spans="1:9" x14ac:dyDescent="0.25">
      <c r="A32" s="25" t="s">
        <v>207</v>
      </c>
      <c r="B32" s="25" t="s">
        <v>208</v>
      </c>
      <c r="C32" s="25" t="s">
        <v>106</v>
      </c>
      <c r="D32" s="25" t="s">
        <v>82</v>
      </c>
      <c r="E32" s="25" t="s">
        <v>14</v>
      </c>
      <c r="F32" s="25" t="s">
        <v>209</v>
      </c>
      <c r="G32" s="26">
        <v>33500</v>
      </c>
      <c r="H32" s="27">
        <v>1002910</v>
      </c>
      <c r="I32" s="25" t="str">
        <f>VLOOKUP('S&amp;P 500'!$E32,'Converted GISC'!$A$1:$C$159,2,FALSE)</f>
        <v>Multi-Utilities</v>
      </c>
    </row>
    <row r="33" spans="1:9" x14ac:dyDescent="0.25">
      <c r="A33" s="28" t="s">
        <v>210</v>
      </c>
      <c r="B33" s="28" t="s">
        <v>211</v>
      </c>
      <c r="C33" s="28" t="s">
        <v>106</v>
      </c>
      <c r="D33" s="28" t="s">
        <v>77</v>
      </c>
      <c r="E33" s="28" t="s">
        <v>44</v>
      </c>
      <c r="F33" s="28" t="s">
        <v>212</v>
      </c>
      <c r="G33" s="29">
        <v>42086</v>
      </c>
      <c r="H33" s="30">
        <v>6201</v>
      </c>
      <c r="I33" s="28" t="str">
        <f>VLOOKUP('S&amp;P 500'!$E33,'Converted GISC'!$A$1:$C$159,2,FALSE)</f>
        <v>Airlines</v>
      </c>
    </row>
    <row r="34" spans="1:9" x14ac:dyDescent="0.25">
      <c r="A34" s="25" t="s">
        <v>213</v>
      </c>
      <c r="B34" s="25" t="s">
        <v>214</v>
      </c>
      <c r="C34" s="25" t="s">
        <v>106</v>
      </c>
      <c r="D34" s="25" t="s">
        <v>82</v>
      </c>
      <c r="E34" s="25" t="s">
        <v>11</v>
      </c>
      <c r="F34" s="25" t="s">
        <v>215</v>
      </c>
      <c r="G34" s="26"/>
      <c r="H34" s="27">
        <v>4904</v>
      </c>
      <c r="I34" s="25" t="str">
        <f>VLOOKUP('S&amp;P 500'!$E34,'Converted GISC'!$A$1:$C$159,2,FALSE)</f>
        <v>Electric Utilities</v>
      </c>
    </row>
    <row r="35" spans="1:9" x14ac:dyDescent="0.25">
      <c r="A35" s="28" t="s">
        <v>216</v>
      </c>
      <c r="B35" s="28" t="s">
        <v>217</v>
      </c>
      <c r="C35" s="28" t="s">
        <v>106</v>
      </c>
      <c r="D35" s="28" t="s">
        <v>75</v>
      </c>
      <c r="E35" s="28" t="s">
        <v>0</v>
      </c>
      <c r="F35" s="28" t="s">
        <v>218</v>
      </c>
      <c r="G35" s="29">
        <v>27941</v>
      </c>
      <c r="H35" s="30">
        <v>4962</v>
      </c>
      <c r="I35" s="28" t="str">
        <f>VLOOKUP('S&amp;P 500'!$E35,'Converted GISC'!$A$1:$C$159,2,FALSE)</f>
        <v>Consumer Finance</v>
      </c>
    </row>
    <row r="36" spans="1:9" x14ac:dyDescent="0.25">
      <c r="A36" s="25" t="s">
        <v>219</v>
      </c>
      <c r="B36" s="25" t="s">
        <v>220</v>
      </c>
      <c r="C36" s="25" t="s">
        <v>106</v>
      </c>
      <c r="D36" s="25" t="s">
        <v>75</v>
      </c>
      <c r="E36" s="25" t="s">
        <v>194</v>
      </c>
      <c r="F36" s="25" t="s">
        <v>218</v>
      </c>
      <c r="G36" s="26">
        <v>29311</v>
      </c>
      <c r="H36" s="27">
        <v>5272</v>
      </c>
      <c r="I36" s="25" t="str">
        <f>VLOOKUP('S&amp;P 500'!$E36,'Converted GISC'!$A$1:$C$159,2,FALSE)</f>
        <v>Insurance</v>
      </c>
    </row>
    <row r="37" spans="1:9" x14ac:dyDescent="0.25">
      <c r="A37" s="28" t="s">
        <v>221</v>
      </c>
      <c r="B37" s="28" t="s">
        <v>222</v>
      </c>
      <c r="C37" s="28" t="s">
        <v>106</v>
      </c>
      <c r="D37" s="28" t="s">
        <v>80</v>
      </c>
      <c r="E37" s="28" t="s">
        <v>223</v>
      </c>
      <c r="F37" s="28" t="s">
        <v>224</v>
      </c>
      <c r="G37" s="29">
        <v>39405</v>
      </c>
      <c r="H37" s="30">
        <v>1053507</v>
      </c>
      <c r="I37" s="28" t="str">
        <f>VLOOKUP('S&amp;P 500'!$E37,'Converted GISC'!$A$1:$C$159,2,FALSE)</f>
        <v>Equity Real Estate Investment Trusts (REITs)</v>
      </c>
    </row>
    <row r="38" spans="1:9" x14ac:dyDescent="0.25">
      <c r="A38" s="25" t="s">
        <v>225</v>
      </c>
      <c r="B38" s="25" t="s">
        <v>226</v>
      </c>
      <c r="C38" s="25" t="s">
        <v>106</v>
      </c>
      <c r="D38" s="25" t="s">
        <v>82</v>
      </c>
      <c r="E38" s="25" t="s">
        <v>15</v>
      </c>
      <c r="F38" s="25" t="s">
        <v>227</v>
      </c>
      <c r="G38" s="26">
        <v>42433</v>
      </c>
      <c r="H38" s="27">
        <v>1410636</v>
      </c>
      <c r="I38" s="25" t="str">
        <f>VLOOKUP('S&amp;P 500'!$E38,'Converted GISC'!$A$1:$C$159,2,FALSE)</f>
        <v>Water Utilities</v>
      </c>
    </row>
    <row r="39" spans="1:9" x14ac:dyDescent="0.25">
      <c r="A39" s="28" t="s">
        <v>228</v>
      </c>
      <c r="B39" s="28" t="s">
        <v>229</v>
      </c>
      <c r="C39" s="28" t="s">
        <v>106</v>
      </c>
      <c r="D39" s="28" t="s">
        <v>75</v>
      </c>
      <c r="E39" s="28" t="s">
        <v>148</v>
      </c>
      <c r="F39" s="28" t="s">
        <v>230</v>
      </c>
      <c r="G39" s="29">
        <v>38628</v>
      </c>
      <c r="H39" s="30">
        <v>820027</v>
      </c>
      <c r="I39" s="28" t="str">
        <f>VLOOKUP('S&amp;P 500'!$E39,'Converted GISC'!$A$1:$C$159,2,FALSE)</f>
        <v>Capital Markets</v>
      </c>
    </row>
    <row r="40" spans="1:9" x14ac:dyDescent="0.25">
      <c r="A40" s="25" t="s">
        <v>231</v>
      </c>
      <c r="B40" s="25" t="s">
        <v>232</v>
      </c>
      <c r="C40" s="25" t="s">
        <v>106</v>
      </c>
      <c r="D40" s="25" t="s">
        <v>76</v>
      </c>
      <c r="E40" s="25" t="s">
        <v>233</v>
      </c>
      <c r="F40" s="25" t="s">
        <v>234</v>
      </c>
      <c r="G40" s="26">
        <v>37133</v>
      </c>
      <c r="H40" s="27">
        <v>1140859</v>
      </c>
      <c r="I40" s="25" t="str">
        <f>VLOOKUP('S&amp;P 500'!$E40,'Converted GISC'!$A$1:$C$159,2,FALSE)</f>
        <v>Health Care Providers &amp; Services</v>
      </c>
    </row>
    <row r="41" spans="1:9" x14ac:dyDescent="0.25">
      <c r="A41" s="28" t="s">
        <v>235</v>
      </c>
      <c r="B41" s="28" t="s">
        <v>236</v>
      </c>
      <c r="C41" s="28" t="s">
        <v>106</v>
      </c>
      <c r="D41" s="28" t="s">
        <v>77</v>
      </c>
      <c r="E41" s="28" t="s">
        <v>124</v>
      </c>
      <c r="F41" s="28" t="s">
        <v>237</v>
      </c>
      <c r="G41" s="29">
        <v>41540</v>
      </c>
      <c r="H41" s="30">
        <v>1037868</v>
      </c>
      <c r="I41" s="28" t="str">
        <f>VLOOKUP('S&amp;P 500'!$E41,'Converted GISC'!$A$1:$C$159,2,FALSE)</f>
        <v>Electrical Equipment</v>
      </c>
    </row>
    <row r="42" spans="1:9" x14ac:dyDescent="0.25">
      <c r="A42" s="25" t="s">
        <v>238</v>
      </c>
      <c r="B42" s="25" t="s">
        <v>239</v>
      </c>
      <c r="C42" s="25" t="s">
        <v>106</v>
      </c>
      <c r="D42" s="25" t="s">
        <v>76</v>
      </c>
      <c r="E42" s="25" t="s">
        <v>36</v>
      </c>
      <c r="F42" s="25" t="s">
        <v>240</v>
      </c>
      <c r="G42" s="26">
        <v>33605</v>
      </c>
      <c r="H42" s="27">
        <v>318154</v>
      </c>
      <c r="I42" s="25" t="str">
        <f>VLOOKUP('S&amp;P 500'!$E42,'Converted GISC'!$A$1:$C$159,2,FALSE)</f>
        <v>Biotechnology</v>
      </c>
    </row>
    <row r="43" spans="1:9" x14ac:dyDescent="0.25">
      <c r="A43" s="28" t="s">
        <v>241</v>
      </c>
      <c r="B43" s="28" t="s">
        <v>242</v>
      </c>
      <c r="C43" s="28" t="s">
        <v>106</v>
      </c>
      <c r="D43" s="28" t="s">
        <v>78</v>
      </c>
      <c r="E43" s="28" t="s">
        <v>243</v>
      </c>
      <c r="F43" s="28" t="s">
        <v>244</v>
      </c>
      <c r="G43" s="29">
        <v>39721</v>
      </c>
      <c r="H43" s="30">
        <v>820313</v>
      </c>
      <c r="I43" s="28" t="str">
        <f>VLOOKUP('S&amp;P 500'!$E43,'Converted GISC'!$A$1:$C$159,2,FALSE)</f>
        <v>Electronic Equipment, Instruments &amp; Components</v>
      </c>
    </row>
    <row r="44" spans="1:9" x14ac:dyDescent="0.25">
      <c r="A44" s="25" t="s">
        <v>245</v>
      </c>
      <c r="B44" s="25" t="s">
        <v>246</v>
      </c>
      <c r="C44" s="25" t="s">
        <v>106</v>
      </c>
      <c r="D44" s="25" t="s">
        <v>74</v>
      </c>
      <c r="E44" s="25" t="s">
        <v>247</v>
      </c>
      <c r="F44" s="25" t="s">
        <v>248</v>
      </c>
      <c r="G44" s="26"/>
      <c r="H44" s="27">
        <v>773910</v>
      </c>
      <c r="I44" s="25" t="str">
        <f>VLOOKUP('S&amp;P 500'!$E44,'Converted GISC'!$A$1:$C$159,2,FALSE)</f>
        <v>Oil, Gas &amp; Consumable Fuels</v>
      </c>
    </row>
    <row r="45" spans="1:9" x14ac:dyDescent="0.25">
      <c r="A45" s="28" t="s">
        <v>249</v>
      </c>
      <c r="B45" s="28" t="s">
        <v>250</v>
      </c>
      <c r="C45" s="28" t="s">
        <v>106</v>
      </c>
      <c r="D45" s="28" t="s">
        <v>78</v>
      </c>
      <c r="E45" s="28" t="s">
        <v>132</v>
      </c>
      <c r="F45" s="28" t="s">
        <v>251</v>
      </c>
      <c r="G45" s="29"/>
      <c r="H45" s="30">
        <v>6281</v>
      </c>
      <c r="I45" s="28" t="str">
        <f>VLOOKUP('S&amp;P 500'!$E45,'Converted GISC'!$A$1:$C$159,2,FALSE)</f>
        <v>Semiconductors &amp; Semiconductor Equipment</v>
      </c>
    </row>
    <row r="46" spans="1:9" x14ac:dyDescent="0.25">
      <c r="A46" s="25" t="s">
        <v>252</v>
      </c>
      <c r="B46" s="25" t="s">
        <v>253</v>
      </c>
      <c r="C46" s="25" t="s">
        <v>106</v>
      </c>
      <c r="D46" s="25" t="s">
        <v>74</v>
      </c>
      <c r="E46" s="25" t="s">
        <v>254</v>
      </c>
      <c r="F46" s="25" t="s">
        <v>255</v>
      </c>
      <c r="G46" s="26">
        <v>39352</v>
      </c>
      <c r="H46" s="27">
        <v>50104</v>
      </c>
      <c r="I46" s="25" t="str">
        <f>VLOOKUP('S&amp;P 500'!$E46,'Converted GISC'!$A$1:$C$159,2,FALSE)</f>
        <v>Oil, Gas &amp; Consumable Fuels</v>
      </c>
    </row>
    <row r="47" spans="1:9" x14ac:dyDescent="0.25">
      <c r="A47" s="28" t="s">
        <v>256</v>
      </c>
      <c r="B47" s="28" t="s">
        <v>257</v>
      </c>
      <c r="C47" s="28" t="s">
        <v>106</v>
      </c>
      <c r="D47" s="28" t="s">
        <v>78</v>
      </c>
      <c r="E47" s="28" t="s">
        <v>128</v>
      </c>
      <c r="F47" s="28" t="s">
        <v>258</v>
      </c>
      <c r="G47" s="29">
        <v>42905</v>
      </c>
      <c r="H47" s="30">
        <v>1013462</v>
      </c>
      <c r="I47" s="28" t="str">
        <f>VLOOKUP('S&amp;P 500'!$E47,'Converted GISC'!$A$1:$C$159,2,FALSE)</f>
        <v>Software</v>
      </c>
    </row>
    <row r="48" spans="1:9" x14ac:dyDescent="0.25">
      <c r="A48" s="25" t="s">
        <v>259</v>
      </c>
      <c r="B48" s="25" t="s">
        <v>260</v>
      </c>
      <c r="C48" s="25" t="s">
        <v>106</v>
      </c>
      <c r="D48" s="25" t="s">
        <v>76</v>
      </c>
      <c r="E48" s="25" t="s">
        <v>144</v>
      </c>
      <c r="F48" s="25" t="s">
        <v>261</v>
      </c>
      <c r="G48" s="26"/>
      <c r="H48" s="27">
        <v>1156039</v>
      </c>
      <c r="I48" s="25" t="str">
        <f>VLOOKUP('S&amp;P 500'!$E48,'Converted GISC'!$A$1:$C$159,2,FALSE)</f>
        <v>Health Care Providers &amp; Services</v>
      </c>
    </row>
    <row r="49" spans="1:9" x14ac:dyDescent="0.25">
      <c r="A49" s="28" t="s">
        <v>262</v>
      </c>
      <c r="B49" s="28" t="s">
        <v>263</v>
      </c>
      <c r="C49" s="28" t="s">
        <v>106</v>
      </c>
      <c r="D49" s="28" t="s">
        <v>75</v>
      </c>
      <c r="E49" s="28" t="s">
        <v>264</v>
      </c>
      <c r="F49" s="28" t="s">
        <v>265</v>
      </c>
      <c r="G49" s="29"/>
      <c r="H49" s="30">
        <v>315293</v>
      </c>
      <c r="I49" s="28" t="str">
        <f>VLOOKUP('S&amp;P 500'!$E49,'Converted GISC'!$A$1:$C$159,2,FALSE)</f>
        <v>Insurance</v>
      </c>
    </row>
    <row r="50" spans="1:9" x14ac:dyDescent="0.25">
      <c r="A50" s="25" t="s">
        <v>266</v>
      </c>
      <c r="B50" s="25" t="s">
        <v>267</v>
      </c>
      <c r="C50" s="25" t="s">
        <v>106</v>
      </c>
      <c r="D50" s="25" t="s">
        <v>77</v>
      </c>
      <c r="E50" s="25" t="s">
        <v>45</v>
      </c>
      <c r="F50" s="25" t="s">
        <v>268</v>
      </c>
      <c r="G50" s="26">
        <v>42942</v>
      </c>
      <c r="H50" s="27">
        <v>91142</v>
      </c>
      <c r="I50" s="25" t="str">
        <f>VLOOKUP('S&amp;P 500'!$E50,'Converted GISC'!$A$1:$C$159,2,FALSE)</f>
        <v>Building Products</v>
      </c>
    </row>
    <row r="51" spans="1:9" x14ac:dyDescent="0.25">
      <c r="A51" s="28" t="s">
        <v>269</v>
      </c>
      <c r="B51" s="28" t="s">
        <v>270</v>
      </c>
      <c r="C51" s="28" t="s">
        <v>106</v>
      </c>
      <c r="D51" s="28" t="s">
        <v>74</v>
      </c>
      <c r="E51" s="28" t="s">
        <v>247</v>
      </c>
      <c r="F51" s="28" t="s">
        <v>271</v>
      </c>
      <c r="G51" s="29"/>
      <c r="H51" s="30">
        <v>6769</v>
      </c>
      <c r="I51" s="28" t="str">
        <f>VLOOKUP('S&amp;P 500'!$E51,'Converted GISC'!$A$1:$C$159,2,FALSE)</f>
        <v>Oil, Gas &amp; Consumable Fuels</v>
      </c>
    </row>
    <row r="52" spans="1:9" x14ac:dyDescent="0.25">
      <c r="A52" s="25" t="s">
        <v>272</v>
      </c>
      <c r="B52" s="25" t="s">
        <v>273</v>
      </c>
      <c r="C52" s="25" t="s">
        <v>106</v>
      </c>
      <c r="D52" s="25" t="s">
        <v>80</v>
      </c>
      <c r="E52" s="25" t="s">
        <v>274</v>
      </c>
      <c r="F52" s="25" t="s">
        <v>275</v>
      </c>
      <c r="G52" s="26"/>
      <c r="H52" s="27">
        <v>922864</v>
      </c>
      <c r="I52" s="25" t="str">
        <f>VLOOKUP('S&amp;P 500'!$E52,'Converted GISC'!$A$1:$C$159,2,FALSE)</f>
        <v>Equity Real Estate Investment Trusts (REITs)</v>
      </c>
    </row>
    <row r="53" spans="1:9" x14ac:dyDescent="0.25">
      <c r="A53" s="28" t="s">
        <v>276</v>
      </c>
      <c r="B53" s="28" t="s">
        <v>277</v>
      </c>
      <c r="C53" s="28" t="s">
        <v>106</v>
      </c>
      <c r="D53" s="28" t="s">
        <v>78</v>
      </c>
      <c r="E53" s="28" t="s">
        <v>62</v>
      </c>
      <c r="F53" s="28" t="s">
        <v>278</v>
      </c>
      <c r="G53" s="29">
        <v>30285</v>
      </c>
      <c r="H53" s="30">
        <v>320193</v>
      </c>
      <c r="I53" s="28" t="str">
        <f>VLOOKUP('S&amp;P 500'!$E53,'Converted GISC'!$A$1:$C$159,2,FALSE)</f>
        <v>Technology Hardware, Storage &amp; Peripherals</v>
      </c>
    </row>
    <row r="54" spans="1:9" x14ac:dyDescent="0.25">
      <c r="A54" s="25" t="s">
        <v>279</v>
      </c>
      <c r="B54" s="25" t="s">
        <v>280</v>
      </c>
      <c r="C54" s="25" t="s">
        <v>106</v>
      </c>
      <c r="D54" s="25" t="s">
        <v>78</v>
      </c>
      <c r="E54" s="25" t="s">
        <v>281</v>
      </c>
      <c r="F54" s="25" t="s">
        <v>156</v>
      </c>
      <c r="G54" s="26"/>
      <c r="H54" s="27">
        <v>6951</v>
      </c>
      <c r="I54" s="25" t="str">
        <f>VLOOKUP('S&amp;P 500'!$E54,'Converted GISC'!$A$1:$C$159,2,FALSE)</f>
        <v>Semiconductors &amp; Semiconductor Equipment</v>
      </c>
    </row>
    <row r="55" spans="1:9" x14ac:dyDescent="0.25">
      <c r="A55" s="28" t="s">
        <v>282</v>
      </c>
      <c r="B55" s="28" t="s">
        <v>283</v>
      </c>
      <c r="C55" s="28" t="s">
        <v>106</v>
      </c>
      <c r="D55" s="28" t="s">
        <v>72</v>
      </c>
      <c r="E55" s="28" t="s">
        <v>284</v>
      </c>
      <c r="F55" s="28" t="s">
        <v>285</v>
      </c>
      <c r="G55" s="29">
        <v>41267</v>
      </c>
      <c r="H55" s="30">
        <v>1521332</v>
      </c>
      <c r="I55" s="28" t="str">
        <f>VLOOKUP('S&amp;P 500'!$E55,'Converted GISC'!$A$1:$C$159,2,FALSE)</f>
        <v>Auto Components</v>
      </c>
    </row>
    <row r="56" spans="1:9" x14ac:dyDescent="0.25">
      <c r="A56" s="25" t="s">
        <v>286</v>
      </c>
      <c r="B56" s="25" t="s">
        <v>287</v>
      </c>
      <c r="C56" s="25" t="s">
        <v>106</v>
      </c>
      <c r="D56" s="25" t="s">
        <v>73</v>
      </c>
      <c r="E56" s="25" t="s">
        <v>288</v>
      </c>
      <c r="F56" s="25" t="s">
        <v>289</v>
      </c>
      <c r="G56" s="26">
        <v>29796</v>
      </c>
      <c r="H56" s="27">
        <v>7084</v>
      </c>
      <c r="I56" s="25" t="str">
        <f>VLOOKUP('S&amp;P 500'!$E56,'Converted GISC'!$A$1:$C$159,2,FALSE)</f>
        <v>Food Products</v>
      </c>
    </row>
    <row r="57" spans="1:9" x14ac:dyDescent="0.25">
      <c r="A57" s="28" t="s">
        <v>290</v>
      </c>
      <c r="B57" s="28" t="s">
        <v>291</v>
      </c>
      <c r="C57" s="28" t="s">
        <v>106</v>
      </c>
      <c r="D57" s="28" t="s">
        <v>77</v>
      </c>
      <c r="E57" s="28" t="s">
        <v>42</v>
      </c>
      <c r="F57" s="28" t="s">
        <v>218</v>
      </c>
      <c r="G57" s="29">
        <v>23467</v>
      </c>
      <c r="H57" s="30">
        <v>4281</v>
      </c>
      <c r="I57" s="28" t="str">
        <f>VLOOKUP('S&amp;P 500'!$E57,'Converted GISC'!$A$1:$C$159,2,FALSE)</f>
        <v>Aerospace &amp; Defense</v>
      </c>
    </row>
    <row r="58" spans="1:9" x14ac:dyDescent="0.25">
      <c r="A58" s="25" t="s">
        <v>292</v>
      </c>
      <c r="B58" s="25" t="s">
        <v>293</v>
      </c>
      <c r="C58" s="25" t="s">
        <v>106</v>
      </c>
      <c r="D58" s="25" t="s">
        <v>75</v>
      </c>
      <c r="E58" s="25" t="s">
        <v>264</v>
      </c>
      <c r="F58" s="25" t="s">
        <v>294</v>
      </c>
      <c r="G58" s="26">
        <v>42521</v>
      </c>
      <c r="H58" s="27">
        <v>354190</v>
      </c>
      <c r="I58" s="25" t="str">
        <f>VLOOKUP('S&amp;P 500'!$E58,'Converted GISC'!$A$1:$C$159,2,FALSE)</f>
        <v>Insurance</v>
      </c>
    </row>
    <row r="59" spans="1:9" x14ac:dyDescent="0.25">
      <c r="A59" s="28" t="s">
        <v>295</v>
      </c>
      <c r="B59" s="28" t="s">
        <v>296</v>
      </c>
      <c r="C59" s="28" t="s">
        <v>106</v>
      </c>
      <c r="D59" s="28" t="s">
        <v>75</v>
      </c>
      <c r="E59" s="28" t="s">
        <v>297</v>
      </c>
      <c r="F59" s="28" t="s">
        <v>218</v>
      </c>
      <c r="G59" s="29">
        <v>39182</v>
      </c>
      <c r="H59" s="30">
        <v>1267238</v>
      </c>
      <c r="I59" s="28" t="str">
        <f>VLOOKUP('S&amp;P 500'!$E59,'Converted GISC'!$A$1:$C$159,2,FALSE)</f>
        <v>Insurance</v>
      </c>
    </row>
    <row r="60" spans="1:9" x14ac:dyDescent="0.25">
      <c r="A60" s="25" t="s">
        <v>298</v>
      </c>
      <c r="B60" s="25" t="s">
        <v>299</v>
      </c>
      <c r="C60" s="25" t="s">
        <v>106</v>
      </c>
      <c r="D60" s="25" t="s">
        <v>81</v>
      </c>
      <c r="E60" s="25" t="s">
        <v>300</v>
      </c>
      <c r="F60" s="25" t="s">
        <v>301</v>
      </c>
      <c r="G60" s="26">
        <v>30650</v>
      </c>
      <c r="H60" s="27">
        <v>732717</v>
      </c>
      <c r="I60" s="25" t="str">
        <f>VLOOKUP('S&amp;P 500'!$E60,'Converted GISC'!$A$1:$C$159,2,FALSE)</f>
        <v>Diversified Telecommunication Services</v>
      </c>
    </row>
    <row r="61" spans="1:9" x14ac:dyDescent="0.25">
      <c r="A61" s="28" t="s">
        <v>302</v>
      </c>
      <c r="B61" s="28" t="s">
        <v>303</v>
      </c>
      <c r="C61" s="28" t="s">
        <v>106</v>
      </c>
      <c r="D61" s="28" t="s">
        <v>78</v>
      </c>
      <c r="E61" s="28" t="s">
        <v>128</v>
      </c>
      <c r="F61" s="28" t="s">
        <v>304</v>
      </c>
      <c r="G61" s="29">
        <v>32843</v>
      </c>
      <c r="H61" s="30">
        <v>769397</v>
      </c>
      <c r="I61" s="28" t="str">
        <f>VLOOKUP('S&amp;P 500'!$E61,'Converted GISC'!$A$1:$C$159,2,FALSE)</f>
        <v>Software</v>
      </c>
    </row>
    <row r="62" spans="1:9" x14ac:dyDescent="0.25">
      <c r="A62" s="25" t="s">
        <v>305</v>
      </c>
      <c r="B62" s="25" t="s">
        <v>306</v>
      </c>
      <c r="C62" s="25" t="s">
        <v>106</v>
      </c>
      <c r="D62" s="25" t="s">
        <v>78</v>
      </c>
      <c r="E62" s="25" t="s">
        <v>59</v>
      </c>
      <c r="F62" s="25" t="s">
        <v>307</v>
      </c>
      <c r="G62" s="26">
        <v>29676</v>
      </c>
      <c r="H62" s="27">
        <v>8670</v>
      </c>
      <c r="I62" s="25" t="str">
        <f>VLOOKUP('S&amp;P 500'!$E62,'Converted GISC'!$A$1:$C$159,2,FALSE)</f>
        <v>Internet Software &amp; Services</v>
      </c>
    </row>
    <row r="63" spans="1:9" x14ac:dyDescent="0.25">
      <c r="A63" s="28" t="s">
        <v>308</v>
      </c>
      <c r="B63" s="28" t="s">
        <v>309</v>
      </c>
      <c r="C63" s="28" t="s">
        <v>106</v>
      </c>
      <c r="D63" s="28" t="s">
        <v>72</v>
      </c>
      <c r="E63" s="28" t="s">
        <v>310</v>
      </c>
      <c r="F63" s="28" t="s">
        <v>311</v>
      </c>
      <c r="G63" s="29"/>
      <c r="H63" s="30">
        <v>866787</v>
      </c>
      <c r="I63" s="28" t="str">
        <f>VLOOKUP('S&amp;P 500'!$E63,'Converted GISC'!$A$1:$C$159,2,FALSE)</f>
        <v>Specialty Retail</v>
      </c>
    </row>
    <row r="64" spans="1:9" x14ac:dyDescent="0.25">
      <c r="A64" s="25" t="s">
        <v>312</v>
      </c>
      <c r="B64" s="25" t="s">
        <v>313</v>
      </c>
      <c r="C64" s="25" t="s">
        <v>106</v>
      </c>
      <c r="D64" s="25" t="s">
        <v>80</v>
      </c>
      <c r="E64" s="25" t="s">
        <v>274</v>
      </c>
      <c r="F64" s="25" t="s">
        <v>141</v>
      </c>
      <c r="G64" s="26">
        <v>39092</v>
      </c>
      <c r="H64" s="27">
        <v>915912</v>
      </c>
      <c r="I64" s="25" t="str">
        <f>VLOOKUP('S&amp;P 500'!$E64,'Converted GISC'!$A$1:$C$159,2,FALSE)</f>
        <v>Equity Real Estate Investment Trusts (REITs)</v>
      </c>
    </row>
    <row r="65" spans="1:9" x14ac:dyDescent="0.25">
      <c r="A65" s="28" t="s">
        <v>314</v>
      </c>
      <c r="B65" s="28" t="s">
        <v>315</v>
      </c>
      <c r="C65" s="28" t="s">
        <v>106</v>
      </c>
      <c r="D65" s="28" t="s">
        <v>79</v>
      </c>
      <c r="E65" s="28" t="s">
        <v>316</v>
      </c>
      <c r="F65" s="28" t="s">
        <v>317</v>
      </c>
      <c r="G65" s="29">
        <v>32142</v>
      </c>
      <c r="H65" s="30">
        <v>8818</v>
      </c>
      <c r="I65" s="28" t="str">
        <f>VLOOKUP('S&amp;P 500'!$E65,'Converted GISC'!$A$1:$C$159,2,FALSE)</f>
        <v>Containers &amp; Packaging</v>
      </c>
    </row>
    <row r="66" spans="1:9" x14ac:dyDescent="0.25">
      <c r="A66" s="25" t="s">
        <v>318</v>
      </c>
      <c r="B66" s="25" t="s">
        <v>319</v>
      </c>
      <c r="C66" s="25" t="s">
        <v>106</v>
      </c>
      <c r="D66" s="25" t="s">
        <v>74</v>
      </c>
      <c r="E66" s="25" t="s">
        <v>320</v>
      </c>
      <c r="F66" s="25" t="s">
        <v>271</v>
      </c>
      <c r="G66" s="26"/>
      <c r="H66" s="27">
        <v>1701605</v>
      </c>
      <c r="I66" s="25" t="str">
        <f>VLOOKUP('S&amp;P 500'!$E66,'Converted GISC'!$A$1:$C$159,2,FALSE)</f>
        <v>Energy Equipment &amp; Services</v>
      </c>
    </row>
    <row r="67" spans="1:9" x14ac:dyDescent="0.25">
      <c r="A67" s="28" t="s">
        <v>321</v>
      </c>
      <c r="B67" s="28" t="s">
        <v>322</v>
      </c>
      <c r="C67" s="28" t="s">
        <v>106</v>
      </c>
      <c r="D67" s="28" t="s">
        <v>79</v>
      </c>
      <c r="E67" s="28" t="s">
        <v>323</v>
      </c>
      <c r="F67" s="28" t="s">
        <v>324</v>
      </c>
      <c r="G67" s="29">
        <v>30986</v>
      </c>
      <c r="H67" s="30">
        <v>9389</v>
      </c>
      <c r="I67" s="28" t="str">
        <f>VLOOKUP('S&amp;P 500'!$E67,'Converted GISC'!$A$1:$C$159,2,FALSE)</f>
        <v>Containers &amp; Packaging</v>
      </c>
    </row>
    <row r="68" spans="1:9" x14ac:dyDescent="0.25">
      <c r="A68" s="25" t="s">
        <v>325</v>
      </c>
      <c r="B68" s="25" t="s">
        <v>326</v>
      </c>
      <c r="C68" s="25" t="s">
        <v>106</v>
      </c>
      <c r="D68" s="25" t="s">
        <v>75</v>
      </c>
      <c r="E68" s="25" t="s">
        <v>327</v>
      </c>
      <c r="F68" s="25" t="s">
        <v>328</v>
      </c>
      <c r="G68" s="26">
        <v>27941</v>
      </c>
      <c r="H68" s="27">
        <v>70858</v>
      </c>
      <c r="I68" s="25" t="str">
        <f>VLOOKUP('S&amp;P 500'!$E68,'Converted GISC'!$A$1:$C$159,2,FALSE)</f>
        <v>Banks</v>
      </c>
    </row>
    <row r="69" spans="1:9" x14ac:dyDescent="0.25">
      <c r="A69" s="28" t="s">
        <v>329</v>
      </c>
      <c r="B69" s="28" t="s">
        <v>330</v>
      </c>
      <c r="C69" s="28" t="s">
        <v>106</v>
      </c>
      <c r="D69" s="28" t="s">
        <v>75</v>
      </c>
      <c r="E69" s="28" t="s">
        <v>148</v>
      </c>
      <c r="F69" s="28" t="s">
        <v>218</v>
      </c>
      <c r="G69" s="29"/>
      <c r="H69" s="30">
        <v>1390777</v>
      </c>
      <c r="I69" s="28" t="str">
        <f>VLOOKUP('S&amp;P 500'!$E69,'Converted GISC'!$A$1:$C$159,2,FALSE)</f>
        <v>Capital Markets</v>
      </c>
    </row>
    <row r="70" spans="1:9" x14ac:dyDescent="0.25">
      <c r="A70" s="25" t="s">
        <v>331</v>
      </c>
      <c r="B70" s="25" t="s">
        <v>332</v>
      </c>
      <c r="C70" s="25" t="s">
        <v>106</v>
      </c>
      <c r="D70" s="25" t="s">
        <v>76</v>
      </c>
      <c r="E70" s="25" t="s">
        <v>110</v>
      </c>
      <c r="F70" s="25" t="s">
        <v>333</v>
      </c>
      <c r="G70" s="26">
        <v>26572</v>
      </c>
      <c r="H70" s="27">
        <v>10456</v>
      </c>
      <c r="I70" s="25" t="str">
        <f>VLOOKUP('S&amp;P 500'!$E70,'Converted GISC'!$A$1:$C$159,2,FALSE)</f>
        <v>Health Care Equipment &amp; Supplies</v>
      </c>
    </row>
    <row r="71" spans="1:9" x14ac:dyDescent="0.25">
      <c r="A71" s="28" t="s">
        <v>334</v>
      </c>
      <c r="B71" s="28" t="s">
        <v>335</v>
      </c>
      <c r="C71" s="28" t="s">
        <v>106</v>
      </c>
      <c r="D71" s="28" t="s">
        <v>75</v>
      </c>
      <c r="E71" s="28" t="s">
        <v>336</v>
      </c>
      <c r="F71" s="28" t="s">
        <v>337</v>
      </c>
      <c r="G71" s="29"/>
      <c r="H71" s="30">
        <v>92230</v>
      </c>
      <c r="I71" s="28" t="str">
        <f>VLOOKUP('S&amp;P 500'!$E71,'Converted GISC'!$A$1:$C$159,2,FALSE)</f>
        <v>Banks</v>
      </c>
    </row>
    <row r="72" spans="1:9" x14ac:dyDescent="0.25">
      <c r="A72" s="25" t="s">
        <v>338</v>
      </c>
      <c r="B72" s="25" t="s">
        <v>339</v>
      </c>
      <c r="C72" s="25" t="s">
        <v>106</v>
      </c>
      <c r="D72" s="25" t="s">
        <v>76</v>
      </c>
      <c r="E72" s="25" t="s">
        <v>110</v>
      </c>
      <c r="F72" s="25" t="s">
        <v>340</v>
      </c>
      <c r="G72" s="26">
        <v>26572</v>
      </c>
      <c r="H72" s="27">
        <v>10795</v>
      </c>
      <c r="I72" s="25" t="str">
        <f>VLOOKUP('S&amp;P 500'!$E72,'Converted GISC'!$A$1:$C$159,2,FALSE)</f>
        <v>Health Care Equipment &amp; Supplies</v>
      </c>
    </row>
    <row r="73" spans="1:9" x14ac:dyDescent="0.25">
      <c r="A73" s="28" t="s">
        <v>341</v>
      </c>
      <c r="B73" s="28" t="s">
        <v>342</v>
      </c>
      <c r="C73" s="28" t="s">
        <v>106</v>
      </c>
      <c r="D73" s="28" t="s">
        <v>75</v>
      </c>
      <c r="E73" s="28" t="s">
        <v>343</v>
      </c>
      <c r="F73" s="28" t="s">
        <v>344</v>
      </c>
      <c r="G73" s="29">
        <v>40225</v>
      </c>
      <c r="H73" s="30">
        <v>1067983</v>
      </c>
      <c r="I73" s="28" t="str">
        <f>VLOOKUP('S&amp;P 500'!$E73,'Converted GISC'!$A$1:$C$159,2,FALSE)</f>
        <v>Diversified Financial Services</v>
      </c>
    </row>
    <row r="74" spans="1:9" x14ac:dyDescent="0.25">
      <c r="A74" s="25" t="s">
        <v>345</v>
      </c>
      <c r="B74" s="25" t="s">
        <v>346</v>
      </c>
      <c r="C74" s="25" t="s">
        <v>106</v>
      </c>
      <c r="D74" s="25" t="s">
        <v>72</v>
      </c>
      <c r="E74" s="25" t="s">
        <v>347</v>
      </c>
      <c r="F74" s="25" t="s">
        <v>348</v>
      </c>
      <c r="G74" s="26">
        <v>36340</v>
      </c>
      <c r="H74" s="27">
        <v>764478</v>
      </c>
      <c r="I74" s="25" t="str">
        <f>VLOOKUP('S&amp;P 500'!$E74,'Converted GISC'!$A$1:$C$159,2,FALSE)</f>
        <v>Specialty Retail</v>
      </c>
    </row>
    <row r="75" spans="1:9" x14ac:dyDescent="0.25">
      <c r="A75" s="28" t="s">
        <v>349</v>
      </c>
      <c r="B75" s="28" t="s">
        <v>350</v>
      </c>
      <c r="C75" s="28" t="s">
        <v>106</v>
      </c>
      <c r="D75" s="28" t="s">
        <v>76</v>
      </c>
      <c r="E75" s="28" t="s">
        <v>36</v>
      </c>
      <c r="F75" s="28" t="s">
        <v>351</v>
      </c>
      <c r="G75" s="29"/>
      <c r="H75" s="30">
        <v>875045</v>
      </c>
      <c r="I75" s="28" t="str">
        <f>VLOOKUP('S&amp;P 500'!$E75,'Converted GISC'!$A$1:$C$159,2,FALSE)</f>
        <v>Biotechnology</v>
      </c>
    </row>
    <row r="76" spans="1:9" x14ac:dyDescent="0.25">
      <c r="A76" s="25" t="s">
        <v>352</v>
      </c>
      <c r="B76" s="25" t="s">
        <v>353</v>
      </c>
      <c r="C76" s="25" t="s">
        <v>106</v>
      </c>
      <c r="D76" s="25" t="s">
        <v>75</v>
      </c>
      <c r="E76" s="25" t="s">
        <v>148</v>
      </c>
      <c r="F76" s="25" t="s">
        <v>218</v>
      </c>
      <c r="G76" s="26">
        <v>40637</v>
      </c>
      <c r="H76" s="27">
        <v>1364742</v>
      </c>
      <c r="I76" s="25" t="str">
        <f>VLOOKUP('S&amp;P 500'!$E76,'Converted GISC'!$A$1:$C$159,2,FALSE)</f>
        <v>Capital Markets</v>
      </c>
    </row>
    <row r="77" spans="1:9" x14ac:dyDescent="0.25">
      <c r="A77" s="28" t="s">
        <v>354</v>
      </c>
      <c r="B77" s="28" t="s">
        <v>355</v>
      </c>
      <c r="C77" s="28" t="s">
        <v>106</v>
      </c>
      <c r="D77" s="28" t="s">
        <v>75</v>
      </c>
      <c r="E77" s="28" t="s">
        <v>0</v>
      </c>
      <c r="F77" s="28" t="s">
        <v>356</v>
      </c>
      <c r="G77" s="29">
        <v>31746</v>
      </c>
      <c r="H77" s="30">
        <v>12659</v>
      </c>
      <c r="I77" s="28" t="str">
        <f>VLOOKUP('S&amp;P 500'!$E77,'Converted GISC'!$A$1:$C$159,2,FALSE)</f>
        <v>Consumer Finance</v>
      </c>
    </row>
    <row r="78" spans="1:9" x14ac:dyDescent="0.25">
      <c r="A78" s="25" t="s">
        <v>357</v>
      </c>
      <c r="B78" s="25" t="s">
        <v>358</v>
      </c>
      <c r="C78" s="25" t="s">
        <v>106</v>
      </c>
      <c r="D78" s="25" t="s">
        <v>77</v>
      </c>
      <c r="E78" s="25" t="s">
        <v>42</v>
      </c>
      <c r="F78" s="25" t="s">
        <v>359</v>
      </c>
      <c r="G78" s="26"/>
      <c r="H78" s="27">
        <v>12927</v>
      </c>
      <c r="I78" s="25" t="str">
        <f>VLOOKUP('S&amp;P 500'!$E78,'Converted GISC'!$A$1:$C$159,2,FALSE)</f>
        <v>Aerospace &amp; Defense</v>
      </c>
    </row>
    <row r="79" spans="1:9" x14ac:dyDescent="0.25">
      <c r="A79" s="28" t="s">
        <v>360</v>
      </c>
      <c r="B79" s="28" t="s">
        <v>361</v>
      </c>
      <c r="C79" s="28" t="s">
        <v>106</v>
      </c>
      <c r="D79" s="28" t="s">
        <v>72</v>
      </c>
      <c r="E79" s="28" t="s">
        <v>206</v>
      </c>
      <c r="F79" s="28" t="s">
        <v>362</v>
      </c>
      <c r="G79" s="29">
        <v>40123</v>
      </c>
      <c r="H79" s="30">
        <v>1075531</v>
      </c>
      <c r="I79" s="28" t="str">
        <f>VLOOKUP('S&amp;P 500'!$E79,'Converted GISC'!$A$1:$C$159,2,FALSE)</f>
        <v>Internet &amp; Direct Marketing Retail</v>
      </c>
    </row>
    <row r="80" spans="1:9" x14ac:dyDescent="0.25">
      <c r="A80" s="25" t="s">
        <v>363</v>
      </c>
      <c r="B80" s="25" t="s">
        <v>364</v>
      </c>
      <c r="C80" s="25" t="s">
        <v>106</v>
      </c>
      <c r="D80" s="25" t="s">
        <v>72</v>
      </c>
      <c r="E80" s="25" t="s">
        <v>284</v>
      </c>
      <c r="F80" s="25" t="s">
        <v>365</v>
      </c>
      <c r="G80" s="26">
        <v>40896</v>
      </c>
      <c r="H80" s="27">
        <v>908255</v>
      </c>
      <c r="I80" s="25" t="str">
        <f>VLOOKUP('S&amp;P 500'!$E80,'Converted GISC'!$A$1:$C$159,2,FALSE)</f>
        <v>Auto Components</v>
      </c>
    </row>
    <row r="81" spans="1:9" x14ac:dyDescent="0.25">
      <c r="A81" s="28" t="s">
        <v>366</v>
      </c>
      <c r="B81" s="28" t="s">
        <v>367</v>
      </c>
      <c r="C81" s="28" t="s">
        <v>106</v>
      </c>
      <c r="D81" s="28" t="s">
        <v>80</v>
      </c>
      <c r="E81" s="28" t="s">
        <v>173</v>
      </c>
      <c r="F81" s="28" t="s">
        <v>224</v>
      </c>
      <c r="G81" s="29">
        <v>38810</v>
      </c>
      <c r="H81" s="30">
        <v>1037540</v>
      </c>
      <c r="I81" s="28" t="str">
        <f>VLOOKUP('S&amp;P 500'!$E81,'Converted GISC'!$A$1:$C$159,2,FALSE)</f>
        <v>Equity Real Estate Investment Trusts (REITs)</v>
      </c>
    </row>
    <row r="82" spans="1:9" x14ac:dyDescent="0.25">
      <c r="A82" s="25" t="s">
        <v>368</v>
      </c>
      <c r="B82" s="25" t="s">
        <v>369</v>
      </c>
      <c r="C82" s="25" t="s">
        <v>106</v>
      </c>
      <c r="D82" s="25" t="s">
        <v>76</v>
      </c>
      <c r="E82" s="25" t="s">
        <v>110</v>
      </c>
      <c r="F82" s="25" t="s">
        <v>370</v>
      </c>
      <c r="G82" s="26">
        <v>34754</v>
      </c>
      <c r="H82" s="27">
        <v>885725</v>
      </c>
      <c r="I82" s="25" t="str">
        <f>VLOOKUP('S&amp;P 500'!$E82,'Converted GISC'!$A$1:$C$159,2,FALSE)</f>
        <v>Health Care Equipment &amp; Supplies</v>
      </c>
    </row>
    <row r="83" spans="1:9" x14ac:dyDescent="0.25">
      <c r="A83" s="28" t="s">
        <v>371</v>
      </c>
      <c r="B83" s="28" t="s">
        <v>372</v>
      </c>
      <c r="C83" s="28" t="s">
        <v>106</v>
      </c>
      <c r="D83" s="28" t="s">
        <v>75</v>
      </c>
      <c r="E83" s="28" t="s">
        <v>152</v>
      </c>
      <c r="F83" s="28" t="s">
        <v>328</v>
      </c>
      <c r="G83" s="29">
        <v>42955</v>
      </c>
      <c r="H83" s="30">
        <v>1685040</v>
      </c>
      <c r="I83" s="28" t="str">
        <f>VLOOKUP('S&amp;P 500'!$E83,'Converted GISC'!$A$1:$C$159,2,FALSE)</f>
        <v>Insurance</v>
      </c>
    </row>
    <row r="84" spans="1:9" x14ac:dyDescent="0.25">
      <c r="A84" s="25" t="s">
        <v>373</v>
      </c>
      <c r="B84" s="25" t="s">
        <v>374</v>
      </c>
      <c r="C84" s="25" t="s">
        <v>106</v>
      </c>
      <c r="D84" s="25" t="s">
        <v>76</v>
      </c>
      <c r="E84" s="25" t="s">
        <v>233</v>
      </c>
      <c r="F84" s="25" t="s">
        <v>218</v>
      </c>
      <c r="G84" s="26"/>
      <c r="H84" s="27">
        <v>14272</v>
      </c>
      <c r="I84" s="25" t="str">
        <f>VLOOKUP('S&amp;P 500'!$E84,'Converted GISC'!$A$1:$C$159,2,FALSE)</f>
        <v>Health Care Providers &amp; Services</v>
      </c>
    </row>
    <row r="85" spans="1:9" x14ac:dyDescent="0.25">
      <c r="A85" s="28" t="s">
        <v>375</v>
      </c>
      <c r="B85" s="28" t="s">
        <v>376</v>
      </c>
      <c r="C85" s="28" t="s">
        <v>106</v>
      </c>
      <c r="D85" s="28" t="s">
        <v>78</v>
      </c>
      <c r="E85" s="28" t="s">
        <v>132</v>
      </c>
      <c r="F85" s="28" t="s">
        <v>129</v>
      </c>
      <c r="G85" s="29">
        <v>41767</v>
      </c>
      <c r="H85" s="30">
        <v>1441634</v>
      </c>
      <c r="I85" s="28" t="str">
        <f>VLOOKUP('S&amp;P 500'!$E85,'Converted GISC'!$A$1:$C$159,2,FALSE)</f>
        <v>Semiconductors &amp; Semiconductor Equipment</v>
      </c>
    </row>
    <row r="86" spans="1:9" x14ac:dyDescent="0.25">
      <c r="A86" s="25" t="s">
        <v>377</v>
      </c>
      <c r="B86" s="25" t="s">
        <v>378</v>
      </c>
      <c r="C86" s="25" t="s">
        <v>106</v>
      </c>
      <c r="D86" s="25" t="s">
        <v>73</v>
      </c>
      <c r="E86" s="25" t="s">
        <v>379</v>
      </c>
      <c r="F86" s="25" t="s">
        <v>380</v>
      </c>
      <c r="G86" s="26">
        <v>30255</v>
      </c>
      <c r="H86" s="27">
        <v>14693</v>
      </c>
      <c r="I86" s="25" t="str">
        <f>VLOOKUP('S&amp;P 500'!$E86,'Converted GISC'!$A$1:$C$159,2,FALSE)</f>
        <v>Beverages</v>
      </c>
    </row>
    <row r="87" spans="1:9" x14ac:dyDescent="0.25">
      <c r="A87" s="28" t="s">
        <v>381</v>
      </c>
      <c r="B87" s="28" t="s">
        <v>382</v>
      </c>
      <c r="C87" s="28" t="s">
        <v>106</v>
      </c>
      <c r="D87" s="28" t="s">
        <v>77</v>
      </c>
      <c r="E87" s="28" t="s">
        <v>43</v>
      </c>
      <c r="F87" s="28" t="s">
        <v>383</v>
      </c>
      <c r="G87" s="29">
        <v>39143</v>
      </c>
      <c r="H87" s="30">
        <v>1043277</v>
      </c>
      <c r="I87" s="28" t="str">
        <f>VLOOKUP('S&amp;P 500'!$E87,'Converted GISC'!$A$1:$C$159,2,FALSE)</f>
        <v>Air Freight &amp; Logistics</v>
      </c>
    </row>
    <row r="88" spans="1:9" x14ac:dyDescent="0.25">
      <c r="A88" s="25" t="s">
        <v>384</v>
      </c>
      <c r="B88" s="25" t="s">
        <v>385</v>
      </c>
      <c r="C88" s="25" t="s">
        <v>106</v>
      </c>
      <c r="D88" s="25" t="s">
        <v>78</v>
      </c>
      <c r="E88" s="25" t="s">
        <v>386</v>
      </c>
      <c r="F88" s="25" t="s">
        <v>387</v>
      </c>
      <c r="G88" s="26">
        <v>31989</v>
      </c>
      <c r="H88" s="27">
        <v>356028</v>
      </c>
      <c r="I88" s="25" t="str">
        <f>VLOOKUP('S&amp;P 500'!$E88,'Converted GISC'!$A$1:$C$159,2,FALSE)</f>
        <v>Software</v>
      </c>
    </row>
    <row r="89" spans="1:9" x14ac:dyDescent="0.25">
      <c r="A89" s="28" t="s">
        <v>388</v>
      </c>
      <c r="B89" s="28" t="s">
        <v>389</v>
      </c>
      <c r="C89" s="28" t="s">
        <v>106</v>
      </c>
      <c r="D89" s="28" t="s">
        <v>74</v>
      </c>
      <c r="E89" s="28" t="s">
        <v>247</v>
      </c>
      <c r="F89" s="28" t="s">
        <v>271</v>
      </c>
      <c r="G89" s="29">
        <v>39622</v>
      </c>
      <c r="H89" s="30">
        <v>858470</v>
      </c>
      <c r="I89" s="28" t="str">
        <f>VLOOKUP('S&amp;P 500'!$E89,'Converted GISC'!$A$1:$C$159,2,FALSE)</f>
        <v>Oil, Gas &amp; Consumable Fuels</v>
      </c>
    </row>
    <row r="90" spans="1:9" x14ac:dyDescent="0.25">
      <c r="A90" s="25" t="s">
        <v>390</v>
      </c>
      <c r="B90" s="25" t="s">
        <v>391</v>
      </c>
      <c r="C90" s="25" t="s">
        <v>106</v>
      </c>
      <c r="D90" s="25" t="s">
        <v>78</v>
      </c>
      <c r="E90" s="25" t="s">
        <v>128</v>
      </c>
      <c r="F90" s="25" t="s">
        <v>129</v>
      </c>
      <c r="G90" s="26">
        <v>42996</v>
      </c>
      <c r="H90" s="27">
        <v>813672</v>
      </c>
      <c r="I90" s="25" t="str">
        <f>VLOOKUP('S&amp;P 500'!$E90,'Converted GISC'!$A$1:$C$159,2,FALSE)</f>
        <v>Software</v>
      </c>
    </row>
    <row r="91" spans="1:9" x14ac:dyDescent="0.25">
      <c r="A91" s="28" t="s">
        <v>392</v>
      </c>
      <c r="B91" s="28" t="s">
        <v>393</v>
      </c>
      <c r="C91" s="28" t="s">
        <v>106</v>
      </c>
      <c r="D91" s="28" t="s">
        <v>73</v>
      </c>
      <c r="E91" s="28" t="s">
        <v>394</v>
      </c>
      <c r="F91" s="28" t="s">
        <v>395</v>
      </c>
      <c r="G91" s="29"/>
      <c r="H91" s="30">
        <v>16732</v>
      </c>
      <c r="I91" s="28" t="str">
        <f>VLOOKUP('S&amp;P 500'!$E91,'Converted GISC'!$A$1:$C$159,2,FALSE)</f>
        <v>Food Products</v>
      </c>
    </row>
    <row r="92" spans="1:9" x14ac:dyDescent="0.25">
      <c r="A92" s="25" t="s">
        <v>396</v>
      </c>
      <c r="B92" s="25" t="s">
        <v>397</v>
      </c>
      <c r="C92" s="25" t="s">
        <v>106</v>
      </c>
      <c r="D92" s="25" t="s">
        <v>75</v>
      </c>
      <c r="E92" s="25" t="s">
        <v>0</v>
      </c>
      <c r="F92" s="25" t="s">
        <v>398</v>
      </c>
      <c r="G92" s="26"/>
      <c r="H92" s="27">
        <v>927628</v>
      </c>
      <c r="I92" s="25" t="str">
        <f>VLOOKUP('S&amp;P 500'!$E92,'Converted GISC'!$A$1:$C$159,2,FALSE)</f>
        <v>Consumer Finance</v>
      </c>
    </row>
    <row r="93" spans="1:9" x14ac:dyDescent="0.25">
      <c r="A93" s="28" t="s">
        <v>399</v>
      </c>
      <c r="B93" s="28" t="s">
        <v>400</v>
      </c>
      <c r="C93" s="28" t="s">
        <v>106</v>
      </c>
      <c r="D93" s="28" t="s">
        <v>76</v>
      </c>
      <c r="E93" s="28" t="s">
        <v>233</v>
      </c>
      <c r="F93" s="28" t="s">
        <v>401</v>
      </c>
      <c r="G93" s="29"/>
      <c r="H93" s="30">
        <v>721371</v>
      </c>
      <c r="I93" s="28" t="str">
        <f>VLOOKUP('S&amp;P 500'!$E93,'Converted GISC'!$A$1:$C$159,2,FALSE)</f>
        <v>Health Care Providers &amp; Services</v>
      </c>
    </row>
    <row r="94" spans="1:9" x14ac:dyDescent="0.25">
      <c r="A94" s="25" t="s">
        <v>402</v>
      </c>
      <c r="B94" s="25" t="s">
        <v>403</v>
      </c>
      <c r="C94" s="25" t="s">
        <v>106</v>
      </c>
      <c r="D94" s="25" t="s">
        <v>75</v>
      </c>
      <c r="E94" s="25" t="s">
        <v>404</v>
      </c>
      <c r="F94" s="25" t="s">
        <v>359</v>
      </c>
      <c r="G94" s="26">
        <v>42795</v>
      </c>
      <c r="H94" s="27">
        <v>1374310</v>
      </c>
      <c r="I94" s="25" t="str">
        <f>VLOOKUP('S&amp;P 500'!$E94,'Converted GISC'!$A$1:$C$159,2,FALSE)</f>
        <v>Capital Markets</v>
      </c>
    </row>
    <row r="95" spans="1:9" x14ac:dyDescent="0.25">
      <c r="A95" s="28" t="s">
        <v>405</v>
      </c>
      <c r="B95" s="28" t="s">
        <v>406</v>
      </c>
      <c r="C95" s="28" t="s">
        <v>106</v>
      </c>
      <c r="D95" s="28" t="s">
        <v>72</v>
      </c>
      <c r="E95" s="28" t="s">
        <v>310</v>
      </c>
      <c r="F95" s="28" t="s">
        <v>203</v>
      </c>
      <c r="G95" s="29">
        <v>40357</v>
      </c>
      <c r="H95" s="30">
        <v>1170010</v>
      </c>
      <c r="I95" s="28" t="str">
        <f>VLOOKUP('S&amp;P 500'!$E95,'Converted GISC'!$A$1:$C$159,2,FALSE)</f>
        <v>Specialty Retail</v>
      </c>
    </row>
    <row r="96" spans="1:9" x14ac:dyDescent="0.25">
      <c r="A96" s="25" t="s">
        <v>407</v>
      </c>
      <c r="B96" s="25" t="s">
        <v>408</v>
      </c>
      <c r="C96" s="25" t="s">
        <v>106</v>
      </c>
      <c r="D96" s="25" t="s">
        <v>72</v>
      </c>
      <c r="E96" s="25" t="s">
        <v>409</v>
      </c>
      <c r="F96" s="25" t="s">
        <v>410</v>
      </c>
      <c r="G96" s="26"/>
      <c r="H96" s="27">
        <v>815097</v>
      </c>
      <c r="I96" s="25" t="str">
        <f>VLOOKUP('S&amp;P 500'!$E96,'Converted GISC'!$A$1:$C$159,2,FALSE)</f>
        <v>Hotels, Restaurants &amp; Leisure</v>
      </c>
    </row>
    <row r="97" spans="1:9" x14ac:dyDescent="0.25">
      <c r="A97" s="28" t="s">
        <v>411</v>
      </c>
      <c r="B97" s="28" t="s">
        <v>412</v>
      </c>
      <c r="C97" s="28" t="s">
        <v>106</v>
      </c>
      <c r="D97" s="28" t="s">
        <v>77</v>
      </c>
      <c r="E97" s="28" t="s">
        <v>413</v>
      </c>
      <c r="F97" s="28" t="s">
        <v>414</v>
      </c>
      <c r="G97" s="29"/>
      <c r="H97" s="30">
        <v>18230</v>
      </c>
      <c r="I97" s="28" t="str">
        <f>VLOOKUP('S&amp;P 500'!$E97,'Converted GISC'!$A$1:$C$159,2,FALSE)</f>
        <v>Machinery</v>
      </c>
    </row>
    <row r="98" spans="1:9" x14ac:dyDescent="0.25">
      <c r="A98" s="25" t="s">
        <v>415</v>
      </c>
      <c r="B98" s="25" t="s">
        <v>416</v>
      </c>
      <c r="C98" s="25" t="s">
        <v>106</v>
      </c>
      <c r="D98" s="25" t="s">
        <v>80</v>
      </c>
      <c r="E98" s="25" t="s">
        <v>417</v>
      </c>
      <c r="F98" s="25" t="s">
        <v>418</v>
      </c>
      <c r="G98" s="26">
        <v>39031</v>
      </c>
      <c r="H98" s="27">
        <v>1138118</v>
      </c>
      <c r="I98" s="25" t="str">
        <f>VLOOKUP('S&amp;P 500'!$E98,'Converted GISC'!$A$1:$C$159,2,FALSE)</f>
        <v>Real Estate Management &amp; Development</v>
      </c>
    </row>
    <row r="99" spans="1:9" x14ac:dyDescent="0.25">
      <c r="A99" s="28" t="s">
        <v>419</v>
      </c>
      <c r="B99" s="28" t="s">
        <v>420</v>
      </c>
      <c r="C99" s="28" t="s">
        <v>106</v>
      </c>
      <c r="D99" s="28" t="s">
        <v>72</v>
      </c>
      <c r="E99" s="28" t="s">
        <v>421</v>
      </c>
      <c r="F99" s="28" t="s">
        <v>218</v>
      </c>
      <c r="G99" s="29">
        <v>34578</v>
      </c>
      <c r="H99" s="30">
        <v>813828</v>
      </c>
      <c r="I99" s="28" t="str">
        <f>VLOOKUP('S&amp;P 500'!$E99,'Converted GISC'!$A$1:$C$159,2,FALSE)</f>
        <v>Media</v>
      </c>
    </row>
    <row r="100" spans="1:9" x14ac:dyDescent="0.25">
      <c r="A100" s="25" t="s">
        <v>422</v>
      </c>
      <c r="B100" s="25" t="s">
        <v>423</v>
      </c>
      <c r="C100" s="25" t="s">
        <v>106</v>
      </c>
      <c r="D100" s="25" t="s">
        <v>76</v>
      </c>
      <c r="E100" s="25" t="s">
        <v>36</v>
      </c>
      <c r="F100" s="25" t="s">
        <v>424</v>
      </c>
      <c r="G100" s="26">
        <v>39027</v>
      </c>
      <c r="H100" s="27">
        <v>816284</v>
      </c>
      <c r="I100" s="25" t="str">
        <f>VLOOKUP('S&amp;P 500'!$E100,'Converted GISC'!$A$1:$C$159,2,FALSE)</f>
        <v>Biotechnology</v>
      </c>
    </row>
    <row r="101" spans="1:9" x14ac:dyDescent="0.25">
      <c r="A101" s="28" t="s">
        <v>425</v>
      </c>
      <c r="B101" s="28" t="s">
        <v>426</v>
      </c>
      <c r="C101" s="28" t="s">
        <v>106</v>
      </c>
      <c r="D101" s="28" t="s">
        <v>76</v>
      </c>
      <c r="E101" s="28" t="s">
        <v>144</v>
      </c>
      <c r="F101" s="28" t="s">
        <v>427</v>
      </c>
      <c r="G101" s="29">
        <v>42459</v>
      </c>
      <c r="H101" s="30">
        <v>1071739</v>
      </c>
      <c r="I101" s="28" t="str">
        <f>VLOOKUP('S&amp;P 500'!$E101,'Converted GISC'!$A$1:$C$159,2,FALSE)</f>
        <v>Health Care Providers &amp; Services</v>
      </c>
    </row>
    <row r="102" spans="1:9" x14ac:dyDescent="0.25">
      <c r="A102" s="25" t="s">
        <v>428</v>
      </c>
      <c r="B102" s="25" t="s">
        <v>429</v>
      </c>
      <c r="C102" s="25" t="s">
        <v>106</v>
      </c>
      <c r="D102" s="25" t="s">
        <v>82</v>
      </c>
      <c r="E102" s="25" t="s">
        <v>14</v>
      </c>
      <c r="F102" s="25" t="s">
        <v>271</v>
      </c>
      <c r="G102" s="26">
        <v>31259</v>
      </c>
      <c r="H102" s="27">
        <v>1130310</v>
      </c>
      <c r="I102" s="25" t="str">
        <f>VLOOKUP('S&amp;P 500'!$E102,'Converted GISC'!$A$1:$C$159,2,FALSE)</f>
        <v>Multi-Utilities</v>
      </c>
    </row>
    <row r="103" spans="1:9" x14ac:dyDescent="0.25">
      <c r="A103" s="28" t="s">
        <v>430</v>
      </c>
      <c r="B103" s="28" t="s">
        <v>431</v>
      </c>
      <c r="C103" s="28" t="s">
        <v>106</v>
      </c>
      <c r="D103" s="28" t="s">
        <v>81</v>
      </c>
      <c r="E103" s="28" t="s">
        <v>300</v>
      </c>
      <c r="F103" s="28" t="s">
        <v>432</v>
      </c>
      <c r="G103" s="29"/>
      <c r="H103" s="30">
        <v>18926</v>
      </c>
      <c r="I103" s="28" t="str">
        <f>VLOOKUP('S&amp;P 500'!$E103,'Converted GISC'!$A$1:$C$159,2,FALSE)</f>
        <v>Diversified Telecommunication Services</v>
      </c>
    </row>
    <row r="104" spans="1:9" x14ac:dyDescent="0.25">
      <c r="A104" s="25" t="s">
        <v>433</v>
      </c>
      <c r="B104" s="25" t="s">
        <v>434</v>
      </c>
      <c r="C104" s="25" t="s">
        <v>106</v>
      </c>
      <c r="D104" s="25" t="s">
        <v>76</v>
      </c>
      <c r="E104" s="25" t="s">
        <v>39</v>
      </c>
      <c r="F104" s="25" t="s">
        <v>435</v>
      </c>
      <c r="G104" s="26">
        <v>40298</v>
      </c>
      <c r="H104" s="27">
        <v>804753</v>
      </c>
      <c r="I104" s="25" t="str">
        <f>VLOOKUP('S&amp;P 500'!$E104,'Converted GISC'!$A$1:$C$159,2,FALSE)</f>
        <v>Health Care Technology</v>
      </c>
    </row>
    <row r="105" spans="1:9" x14ac:dyDescent="0.25">
      <c r="A105" s="28" t="s">
        <v>436</v>
      </c>
      <c r="B105" s="28" t="s">
        <v>437</v>
      </c>
      <c r="C105" s="28" t="s">
        <v>106</v>
      </c>
      <c r="D105" s="28" t="s">
        <v>79</v>
      </c>
      <c r="E105" s="28" t="s">
        <v>438</v>
      </c>
      <c r="F105" s="28" t="s">
        <v>333</v>
      </c>
      <c r="G105" s="29">
        <v>39687</v>
      </c>
      <c r="H105" s="30">
        <v>1324404</v>
      </c>
      <c r="I105" s="28" t="str">
        <f>VLOOKUP('S&amp;P 500'!$E105,'Converted GISC'!$A$1:$C$159,2,FALSE)</f>
        <v>Chemicals</v>
      </c>
    </row>
    <row r="106" spans="1:9" x14ac:dyDescent="0.25">
      <c r="A106" s="25" t="s">
        <v>439</v>
      </c>
      <c r="B106" s="25" t="s">
        <v>440</v>
      </c>
      <c r="C106" s="25" t="s">
        <v>106</v>
      </c>
      <c r="D106" s="25" t="s">
        <v>75</v>
      </c>
      <c r="E106" s="25" t="s">
        <v>441</v>
      </c>
      <c r="F106" s="25" t="s">
        <v>442</v>
      </c>
      <c r="G106" s="26"/>
      <c r="H106" s="27">
        <v>316709</v>
      </c>
      <c r="I106" s="25" t="str">
        <f>VLOOKUP('S&amp;P 500'!$E106,'Converted GISC'!$A$1:$C$159,2,FALSE)</f>
        <v>Capital Markets</v>
      </c>
    </row>
    <row r="107" spans="1:9" x14ac:dyDescent="0.25">
      <c r="A107" s="28" t="s">
        <v>443</v>
      </c>
      <c r="B107" s="28" t="s">
        <v>444</v>
      </c>
      <c r="C107" s="28" t="s">
        <v>106</v>
      </c>
      <c r="D107" s="28" t="s">
        <v>72</v>
      </c>
      <c r="E107" s="28" t="s">
        <v>445</v>
      </c>
      <c r="F107" s="28" t="s">
        <v>446</v>
      </c>
      <c r="G107" s="29">
        <v>42621</v>
      </c>
      <c r="H107" s="30">
        <v>1091667</v>
      </c>
      <c r="I107" s="28" t="str">
        <f>VLOOKUP('S&amp;P 500'!$E107,'Converted GISC'!$A$1:$C$159,2,FALSE)</f>
        <v>Media</v>
      </c>
    </row>
    <row r="108" spans="1:9" x14ac:dyDescent="0.25">
      <c r="A108" s="25" t="s">
        <v>447</v>
      </c>
      <c r="B108" s="25" t="s">
        <v>448</v>
      </c>
      <c r="C108" s="25" t="s">
        <v>106</v>
      </c>
      <c r="D108" s="25" t="s">
        <v>74</v>
      </c>
      <c r="E108" s="25" t="s">
        <v>247</v>
      </c>
      <c r="F108" s="25" t="s">
        <v>449</v>
      </c>
      <c r="G108" s="26"/>
      <c r="H108" s="27">
        <v>895126</v>
      </c>
      <c r="I108" s="25" t="str">
        <f>VLOOKUP('S&amp;P 500'!$E108,'Converted GISC'!$A$1:$C$159,2,FALSE)</f>
        <v>Oil, Gas &amp; Consumable Fuels</v>
      </c>
    </row>
    <row r="109" spans="1:9" x14ac:dyDescent="0.25">
      <c r="A109" s="28" t="s">
        <v>450</v>
      </c>
      <c r="B109" s="28" t="s">
        <v>451</v>
      </c>
      <c r="C109" s="28" t="s">
        <v>106</v>
      </c>
      <c r="D109" s="28" t="s">
        <v>74</v>
      </c>
      <c r="E109" s="28" t="s">
        <v>452</v>
      </c>
      <c r="F109" s="28" t="s">
        <v>453</v>
      </c>
      <c r="G109" s="29"/>
      <c r="H109" s="30">
        <v>93410</v>
      </c>
      <c r="I109" s="28" t="str">
        <f>VLOOKUP('S&amp;P 500'!$E109,'Converted GISC'!$A$1:$C$159,2,FALSE)</f>
        <v>Oil, Gas &amp; Consumable Fuels</v>
      </c>
    </row>
    <row r="110" spans="1:9" x14ac:dyDescent="0.25">
      <c r="A110" s="25" t="s">
        <v>454</v>
      </c>
      <c r="B110" s="25" t="s">
        <v>455</v>
      </c>
      <c r="C110" s="25" t="s">
        <v>106</v>
      </c>
      <c r="D110" s="25" t="s">
        <v>72</v>
      </c>
      <c r="E110" s="25" t="s">
        <v>456</v>
      </c>
      <c r="F110" s="25" t="s">
        <v>275</v>
      </c>
      <c r="G110" s="26">
        <v>40661</v>
      </c>
      <c r="H110" s="27">
        <v>1058090</v>
      </c>
      <c r="I110" s="25" t="str">
        <f>VLOOKUP('S&amp;P 500'!$E110,'Converted GISC'!$A$1:$C$159,2,FALSE)</f>
        <v>Hotels, Restaurants &amp; Leisure</v>
      </c>
    </row>
    <row r="111" spans="1:9" x14ac:dyDescent="0.25">
      <c r="A111" s="28" t="s">
        <v>457</v>
      </c>
      <c r="B111" s="28" t="s">
        <v>458</v>
      </c>
      <c r="C111" s="28" t="s">
        <v>106</v>
      </c>
      <c r="D111" s="28" t="s">
        <v>75</v>
      </c>
      <c r="E111" s="28" t="s">
        <v>194</v>
      </c>
      <c r="F111" s="28" t="s">
        <v>459</v>
      </c>
      <c r="G111" s="29">
        <v>40374</v>
      </c>
      <c r="H111" s="30">
        <v>896159</v>
      </c>
      <c r="I111" s="28" t="str">
        <f>VLOOKUP('S&amp;P 500'!$E111,'Converted GISC'!$A$1:$C$159,2,FALSE)</f>
        <v>Insurance</v>
      </c>
    </row>
    <row r="112" spans="1:9" x14ac:dyDescent="0.25">
      <c r="A112" s="25" t="s">
        <v>460</v>
      </c>
      <c r="B112" s="25" t="s">
        <v>461</v>
      </c>
      <c r="C112" s="25" t="s">
        <v>106</v>
      </c>
      <c r="D112" s="25" t="s">
        <v>73</v>
      </c>
      <c r="E112" s="25" t="s">
        <v>31</v>
      </c>
      <c r="F112" s="25" t="s">
        <v>462</v>
      </c>
      <c r="G112" s="26">
        <v>42367</v>
      </c>
      <c r="H112" s="27">
        <v>313927</v>
      </c>
      <c r="I112" s="25" t="str">
        <f>VLOOKUP('S&amp;P 500'!$E112,'Converted GISC'!$A$1:$C$159,2,FALSE)</f>
        <v>Household Products</v>
      </c>
    </row>
    <row r="113" spans="1:9" x14ac:dyDescent="0.25">
      <c r="A113" s="28" t="s">
        <v>463</v>
      </c>
      <c r="B113" s="28" t="s">
        <v>464</v>
      </c>
      <c r="C113" s="28" t="s">
        <v>106</v>
      </c>
      <c r="D113" s="28" t="s">
        <v>76</v>
      </c>
      <c r="E113" s="28" t="s">
        <v>144</v>
      </c>
      <c r="F113" s="28" t="s">
        <v>465</v>
      </c>
      <c r="G113" s="29">
        <v>27941</v>
      </c>
      <c r="H113" s="30">
        <v>701221</v>
      </c>
      <c r="I113" s="28" t="str">
        <f>VLOOKUP('S&amp;P 500'!$E113,'Converted GISC'!$A$1:$C$159,2,FALSE)</f>
        <v>Health Care Providers &amp; Services</v>
      </c>
    </row>
    <row r="114" spans="1:9" x14ac:dyDescent="0.25">
      <c r="A114" s="25" t="s">
        <v>466</v>
      </c>
      <c r="B114" s="25" t="s">
        <v>467</v>
      </c>
      <c r="C114" s="25" t="s">
        <v>106</v>
      </c>
      <c r="D114" s="25" t="s">
        <v>74</v>
      </c>
      <c r="E114" s="25" t="s">
        <v>247</v>
      </c>
      <c r="F114" s="25" t="s">
        <v>275</v>
      </c>
      <c r="G114" s="26">
        <v>41811</v>
      </c>
      <c r="H114" s="27">
        <v>1168054</v>
      </c>
      <c r="I114" s="25" t="str">
        <f>VLOOKUP('S&amp;P 500'!$E114,'Converted GISC'!$A$1:$C$159,2,FALSE)</f>
        <v>Oil, Gas &amp; Consumable Fuels</v>
      </c>
    </row>
    <row r="115" spans="1:9" x14ac:dyDescent="0.25">
      <c r="A115" s="28" t="s">
        <v>468</v>
      </c>
      <c r="B115" s="28" t="s">
        <v>469</v>
      </c>
      <c r="C115" s="28" t="s">
        <v>106</v>
      </c>
      <c r="D115" s="28" t="s">
        <v>75</v>
      </c>
      <c r="E115" s="28" t="s">
        <v>194</v>
      </c>
      <c r="F115" s="28" t="s">
        <v>470</v>
      </c>
      <c r="G115" s="29"/>
      <c r="H115" s="30">
        <v>20286</v>
      </c>
      <c r="I115" s="28" t="str">
        <f>VLOOKUP('S&amp;P 500'!$E115,'Converted GISC'!$A$1:$C$159,2,FALSE)</f>
        <v>Insurance</v>
      </c>
    </row>
    <row r="116" spans="1:9" x14ac:dyDescent="0.25">
      <c r="A116" s="25" t="s">
        <v>471</v>
      </c>
      <c r="B116" s="25" t="s">
        <v>472</v>
      </c>
      <c r="C116" s="25" t="s">
        <v>106</v>
      </c>
      <c r="D116" s="25" t="s">
        <v>77</v>
      </c>
      <c r="E116" s="25" t="s">
        <v>473</v>
      </c>
      <c r="F116" s="25" t="s">
        <v>474</v>
      </c>
      <c r="G116" s="26">
        <v>36951</v>
      </c>
      <c r="H116" s="27">
        <v>723254</v>
      </c>
      <c r="I116" s="25" t="str">
        <f>VLOOKUP('S&amp;P 500'!$E116,'Converted GISC'!$A$1:$C$159,2,FALSE)</f>
        <v>Commercial Services &amp; Supplies</v>
      </c>
    </row>
    <row r="117" spans="1:9" x14ac:dyDescent="0.25">
      <c r="A117" s="28" t="s">
        <v>475</v>
      </c>
      <c r="B117" s="28" t="s">
        <v>476</v>
      </c>
      <c r="C117" s="28" t="s">
        <v>106</v>
      </c>
      <c r="D117" s="28" t="s">
        <v>78</v>
      </c>
      <c r="E117" s="28" t="s">
        <v>56</v>
      </c>
      <c r="F117" s="28" t="s">
        <v>129</v>
      </c>
      <c r="G117" s="29">
        <v>34304</v>
      </c>
      <c r="H117" s="30">
        <v>858877</v>
      </c>
      <c r="I117" s="28" t="str">
        <f>VLOOKUP('S&amp;P 500'!$E117,'Converted GISC'!$A$1:$C$159,2,FALSE)</f>
        <v>Communications Equipment</v>
      </c>
    </row>
    <row r="118" spans="1:9" x14ac:dyDescent="0.25">
      <c r="A118" s="25" t="s">
        <v>477</v>
      </c>
      <c r="B118" s="25" t="s">
        <v>478</v>
      </c>
      <c r="C118" s="25" t="s">
        <v>106</v>
      </c>
      <c r="D118" s="25" t="s">
        <v>75</v>
      </c>
      <c r="E118" s="25" t="s">
        <v>327</v>
      </c>
      <c r="F118" s="25" t="s">
        <v>218</v>
      </c>
      <c r="G118" s="26">
        <v>32294</v>
      </c>
      <c r="H118" s="27">
        <v>831001</v>
      </c>
      <c r="I118" s="25" t="str">
        <f>VLOOKUP('S&amp;P 500'!$E118,'Converted GISC'!$A$1:$C$159,2,FALSE)</f>
        <v>Banks</v>
      </c>
    </row>
    <row r="119" spans="1:9" x14ac:dyDescent="0.25">
      <c r="A119" s="28" t="s">
        <v>479</v>
      </c>
      <c r="B119" s="28" t="s">
        <v>480</v>
      </c>
      <c r="C119" s="28" t="s">
        <v>106</v>
      </c>
      <c r="D119" s="28" t="s">
        <v>75</v>
      </c>
      <c r="E119" s="28" t="s">
        <v>336</v>
      </c>
      <c r="F119" s="28" t="s">
        <v>481</v>
      </c>
      <c r="G119" s="29">
        <v>42398</v>
      </c>
      <c r="H119" s="30">
        <v>759944</v>
      </c>
      <c r="I119" s="28" t="str">
        <f>VLOOKUP('S&amp;P 500'!$E119,'Converted GISC'!$A$1:$C$159,2,FALSE)</f>
        <v>Banks</v>
      </c>
    </row>
    <row r="120" spans="1:9" x14ac:dyDescent="0.25">
      <c r="A120" s="25" t="s">
        <v>482</v>
      </c>
      <c r="B120" s="25" t="s">
        <v>483</v>
      </c>
      <c r="C120" s="25" t="s">
        <v>106</v>
      </c>
      <c r="D120" s="25" t="s">
        <v>78</v>
      </c>
      <c r="E120" s="25" t="s">
        <v>59</v>
      </c>
      <c r="F120" s="25" t="s">
        <v>484</v>
      </c>
      <c r="G120" s="26"/>
      <c r="H120" s="27">
        <v>877890</v>
      </c>
      <c r="I120" s="25" t="str">
        <f>VLOOKUP('S&amp;P 500'!$E120,'Converted GISC'!$A$1:$C$159,2,FALSE)</f>
        <v>Internet Software &amp; Services</v>
      </c>
    </row>
    <row r="121" spans="1:9" x14ac:dyDescent="0.25">
      <c r="A121" s="28" t="s">
        <v>485</v>
      </c>
      <c r="B121" s="28" t="s">
        <v>486</v>
      </c>
      <c r="C121" s="28" t="s">
        <v>106</v>
      </c>
      <c r="D121" s="28" t="s">
        <v>73</v>
      </c>
      <c r="E121" s="28" t="s">
        <v>31</v>
      </c>
      <c r="F121" s="28" t="s">
        <v>487</v>
      </c>
      <c r="G121" s="29">
        <v>25293</v>
      </c>
      <c r="H121" s="30">
        <v>21076</v>
      </c>
      <c r="I121" s="28" t="str">
        <f>VLOOKUP('S&amp;P 500'!$E121,'Converted GISC'!$A$1:$C$159,2,FALSE)</f>
        <v>Household Products</v>
      </c>
    </row>
    <row r="122" spans="1:9" x14ac:dyDescent="0.25">
      <c r="A122" s="25" t="s">
        <v>488</v>
      </c>
      <c r="B122" s="25" t="s">
        <v>489</v>
      </c>
      <c r="C122" s="25" t="s">
        <v>106</v>
      </c>
      <c r="D122" s="25" t="s">
        <v>75</v>
      </c>
      <c r="E122" s="25" t="s">
        <v>404</v>
      </c>
      <c r="F122" s="25" t="s">
        <v>359</v>
      </c>
      <c r="G122" s="26"/>
      <c r="H122" s="27">
        <v>1156375</v>
      </c>
      <c r="I122" s="25" t="str">
        <f>VLOOKUP('S&amp;P 500'!$E122,'Converted GISC'!$A$1:$C$159,2,FALSE)</f>
        <v>Capital Markets</v>
      </c>
    </row>
    <row r="123" spans="1:9" x14ac:dyDescent="0.25">
      <c r="A123" s="28" t="s">
        <v>490</v>
      </c>
      <c r="B123" s="28" t="s">
        <v>491</v>
      </c>
      <c r="C123" s="28" t="s">
        <v>106</v>
      </c>
      <c r="D123" s="28" t="s">
        <v>82</v>
      </c>
      <c r="E123" s="28" t="s">
        <v>14</v>
      </c>
      <c r="F123" s="28" t="s">
        <v>492</v>
      </c>
      <c r="G123" s="29"/>
      <c r="H123" s="30">
        <v>811156</v>
      </c>
      <c r="I123" s="28" t="str">
        <f>VLOOKUP('S&amp;P 500'!$E123,'Converted GISC'!$A$1:$C$159,2,FALSE)</f>
        <v>Multi-Utilities</v>
      </c>
    </row>
    <row r="124" spans="1:9" x14ac:dyDescent="0.25">
      <c r="A124" s="25" t="s">
        <v>493</v>
      </c>
      <c r="B124" s="25" t="s">
        <v>494</v>
      </c>
      <c r="C124" s="25" t="s">
        <v>106</v>
      </c>
      <c r="D124" s="25" t="s">
        <v>73</v>
      </c>
      <c r="E124" s="25" t="s">
        <v>495</v>
      </c>
      <c r="F124" s="25" t="s">
        <v>125</v>
      </c>
      <c r="G124" s="26"/>
      <c r="H124" s="27">
        <v>21344</v>
      </c>
      <c r="I124" s="25" t="str">
        <f>VLOOKUP('S&amp;P 500'!$E124,'Converted GISC'!$A$1:$C$159,2,FALSE)</f>
        <v>Beverages</v>
      </c>
    </row>
    <row r="125" spans="1:9" x14ac:dyDescent="0.25">
      <c r="A125" s="28" t="s">
        <v>496</v>
      </c>
      <c r="B125" s="28" t="s">
        <v>497</v>
      </c>
      <c r="C125" s="28" t="s">
        <v>106</v>
      </c>
      <c r="D125" s="28" t="s">
        <v>78</v>
      </c>
      <c r="E125" s="28" t="s">
        <v>116</v>
      </c>
      <c r="F125" s="28" t="s">
        <v>498</v>
      </c>
      <c r="G125" s="29">
        <v>39038</v>
      </c>
      <c r="H125" s="30">
        <v>1058290</v>
      </c>
      <c r="I125" s="28" t="str">
        <f>VLOOKUP('S&amp;P 500'!$E125,'Converted GISC'!$A$1:$C$159,2,FALSE)</f>
        <v>IT Services</v>
      </c>
    </row>
    <row r="126" spans="1:9" x14ac:dyDescent="0.25">
      <c r="A126" s="25" t="s">
        <v>499</v>
      </c>
      <c r="B126" s="25" t="s">
        <v>500</v>
      </c>
      <c r="C126" s="25" t="s">
        <v>106</v>
      </c>
      <c r="D126" s="25" t="s">
        <v>73</v>
      </c>
      <c r="E126" s="25" t="s">
        <v>31</v>
      </c>
      <c r="F126" s="25" t="s">
        <v>218</v>
      </c>
      <c r="G126" s="26"/>
      <c r="H126" s="27">
        <v>21665</v>
      </c>
      <c r="I126" s="25" t="str">
        <f>VLOOKUP('S&amp;P 500'!$E126,'Converted GISC'!$A$1:$C$159,2,FALSE)</f>
        <v>Household Products</v>
      </c>
    </row>
    <row r="127" spans="1:9" x14ac:dyDescent="0.25">
      <c r="A127" s="28" t="s">
        <v>501</v>
      </c>
      <c r="B127" s="28" t="s">
        <v>502</v>
      </c>
      <c r="C127" s="28" t="s">
        <v>106</v>
      </c>
      <c r="D127" s="28" t="s">
        <v>72</v>
      </c>
      <c r="E127" s="28" t="s">
        <v>445</v>
      </c>
      <c r="F127" s="28" t="s">
        <v>465</v>
      </c>
      <c r="G127" s="29">
        <v>42265</v>
      </c>
      <c r="H127" s="30">
        <v>1166691</v>
      </c>
      <c r="I127" s="28" t="str">
        <f>VLOOKUP('S&amp;P 500'!$E127,'Converted GISC'!$A$1:$C$159,2,FALSE)</f>
        <v>Media</v>
      </c>
    </row>
    <row r="128" spans="1:9" x14ac:dyDescent="0.25">
      <c r="A128" s="25" t="s">
        <v>503</v>
      </c>
      <c r="B128" s="25" t="s">
        <v>504</v>
      </c>
      <c r="C128" s="25" t="s">
        <v>106</v>
      </c>
      <c r="D128" s="25" t="s">
        <v>75</v>
      </c>
      <c r="E128" s="25" t="s">
        <v>327</v>
      </c>
      <c r="F128" s="25" t="s">
        <v>301</v>
      </c>
      <c r="G128" s="26"/>
      <c r="H128" s="27">
        <v>28412</v>
      </c>
      <c r="I128" s="25" t="str">
        <f>VLOOKUP('S&amp;P 500'!$E128,'Converted GISC'!$A$1:$C$159,2,FALSE)</f>
        <v>Banks</v>
      </c>
    </row>
    <row r="129" spans="1:9" x14ac:dyDescent="0.25">
      <c r="A129" s="28" t="s">
        <v>505</v>
      </c>
      <c r="B129" s="28" t="s">
        <v>506</v>
      </c>
      <c r="C129" s="28" t="s">
        <v>106</v>
      </c>
      <c r="D129" s="28" t="s">
        <v>73</v>
      </c>
      <c r="E129" s="28" t="s">
        <v>394</v>
      </c>
      <c r="F129" s="28" t="s">
        <v>359</v>
      </c>
      <c r="G129" s="29">
        <v>30559</v>
      </c>
      <c r="H129" s="30">
        <v>23217</v>
      </c>
      <c r="I129" s="28" t="str">
        <f>VLOOKUP('S&amp;P 500'!$E129,'Converted GISC'!$A$1:$C$159,2,FALSE)</f>
        <v>Food Products</v>
      </c>
    </row>
    <row r="130" spans="1:9" x14ac:dyDescent="0.25">
      <c r="A130" s="25" t="s">
        <v>507</v>
      </c>
      <c r="B130" s="25" t="s">
        <v>508</v>
      </c>
      <c r="C130" s="25" t="s">
        <v>106</v>
      </c>
      <c r="D130" s="25" t="s">
        <v>74</v>
      </c>
      <c r="E130" s="25" t="s">
        <v>247</v>
      </c>
      <c r="F130" s="25" t="s">
        <v>509</v>
      </c>
      <c r="G130" s="26">
        <v>42422</v>
      </c>
      <c r="H130" s="27">
        <v>1358071</v>
      </c>
      <c r="I130" s="25" t="str">
        <f>VLOOKUP('S&amp;P 500'!$E130,'Converted GISC'!$A$1:$C$159,2,FALSE)</f>
        <v>Oil, Gas &amp; Consumable Fuels</v>
      </c>
    </row>
    <row r="131" spans="1:9" x14ac:dyDescent="0.25">
      <c r="A131" s="28" t="s">
        <v>510</v>
      </c>
      <c r="B131" s="28" t="s">
        <v>511</v>
      </c>
      <c r="C131" s="28" t="s">
        <v>106</v>
      </c>
      <c r="D131" s="28" t="s">
        <v>74</v>
      </c>
      <c r="E131" s="28" t="s">
        <v>247</v>
      </c>
      <c r="F131" s="28" t="s">
        <v>271</v>
      </c>
      <c r="G131" s="29"/>
      <c r="H131" s="30">
        <v>1163165</v>
      </c>
      <c r="I131" s="28" t="str">
        <f>VLOOKUP('S&amp;P 500'!$E131,'Converted GISC'!$A$1:$C$159,2,FALSE)</f>
        <v>Oil, Gas &amp; Consumable Fuels</v>
      </c>
    </row>
    <row r="132" spans="1:9" x14ac:dyDescent="0.25">
      <c r="A132" s="25" t="s">
        <v>512</v>
      </c>
      <c r="B132" s="25" t="s">
        <v>513</v>
      </c>
      <c r="C132" s="25" t="s">
        <v>106</v>
      </c>
      <c r="D132" s="25" t="s">
        <v>82</v>
      </c>
      <c r="E132" s="25" t="s">
        <v>11</v>
      </c>
      <c r="F132" s="25" t="s">
        <v>218</v>
      </c>
      <c r="G132" s="26"/>
      <c r="H132" s="27">
        <v>1047862</v>
      </c>
      <c r="I132" s="25" t="str">
        <f>VLOOKUP('S&amp;P 500'!$E132,'Converted GISC'!$A$1:$C$159,2,FALSE)</f>
        <v>Electric Utilities</v>
      </c>
    </row>
    <row r="133" spans="1:9" x14ac:dyDescent="0.25">
      <c r="A133" s="28" t="s">
        <v>514</v>
      </c>
      <c r="B133" s="28" t="s">
        <v>515</v>
      </c>
      <c r="C133" s="28" t="s">
        <v>106</v>
      </c>
      <c r="D133" s="28" t="s">
        <v>73</v>
      </c>
      <c r="E133" s="28" t="s">
        <v>379</v>
      </c>
      <c r="F133" s="28" t="s">
        <v>516</v>
      </c>
      <c r="G133" s="29">
        <v>38538</v>
      </c>
      <c r="H133" s="30">
        <v>16918</v>
      </c>
      <c r="I133" s="28" t="str">
        <f>VLOOKUP('S&amp;P 500'!$E133,'Converted GISC'!$A$1:$C$159,2,FALSE)</f>
        <v>Beverages</v>
      </c>
    </row>
    <row r="134" spans="1:9" x14ac:dyDescent="0.25">
      <c r="A134" s="25" t="s">
        <v>517</v>
      </c>
      <c r="B134" s="25" t="s">
        <v>518</v>
      </c>
      <c r="C134" s="25" t="s">
        <v>106</v>
      </c>
      <c r="D134" s="25" t="s">
        <v>76</v>
      </c>
      <c r="E134" s="25" t="s">
        <v>180</v>
      </c>
      <c r="F134" s="25" t="s">
        <v>519</v>
      </c>
      <c r="G134" s="26">
        <v>42636</v>
      </c>
      <c r="H134" s="27">
        <v>711404</v>
      </c>
      <c r="I134" s="25" t="str">
        <f>VLOOKUP('S&amp;P 500'!$E134,'Converted GISC'!$A$1:$C$159,2,FALSE)</f>
        <v>Health Care Equipment &amp; Supplies</v>
      </c>
    </row>
    <row r="135" spans="1:9" x14ac:dyDescent="0.25">
      <c r="A135" s="28" t="s">
        <v>520</v>
      </c>
      <c r="B135" s="28" t="s">
        <v>521</v>
      </c>
      <c r="C135" s="28" t="s">
        <v>106</v>
      </c>
      <c r="D135" s="28" t="s">
        <v>78</v>
      </c>
      <c r="E135" s="28" t="s">
        <v>243</v>
      </c>
      <c r="F135" s="28" t="s">
        <v>522</v>
      </c>
      <c r="G135" s="29"/>
      <c r="H135" s="30">
        <v>24741</v>
      </c>
      <c r="I135" s="28" t="str">
        <f>VLOOKUP('S&amp;P 500'!$E135,'Converted GISC'!$A$1:$C$159,2,FALSE)</f>
        <v>Electronic Equipment, Instruments &amp; Components</v>
      </c>
    </row>
    <row r="136" spans="1:9" x14ac:dyDescent="0.25">
      <c r="A136" s="25" t="s">
        <v>523</v>
      </c>
      <c r="B136" s="25" t="s">
        <v>524</v>
      </c>
      <c r="C136" s="25" t="s">
        <v>106</v>
      </c>
      <c r="D136" s="25" t="s">
        <v>73</v>
      </c>
      <c r="E136" s="25" t="s">
        <v>525</v>
      </c>
      <c r="F136" s="25" t="s">
        <v>526</v>
      </c>
      <c r="G136" s="26">
        <v>34243</v>
      </c>
      <c r="H136" s="27">
        <v>909832</v>
      </c>
      <c r="I136" s="25" t="str">
        <f>VLOOKUP('S&amp;P 500'!$E136,'Converted GISC'!$A$1:$C$159,2,FALSE)</f>
        <v>Food &amp; Staples Retailing</v>
      </c>
    </row>
    <row r="137" spans="1:9" x14ac:dyDescent="0.25">
      <c r="A137" s="28" t="s">
        <v>527</v>
      </c>
      <c r="B137" s="28" t="s">
        <v>528</v>
      </c>
      <c r="C137" s="28" t="s">
        <v>106</v>
      </c>
      <c r="D137" s="28" t="s">
        <v>73</v>
      </c>
      <c r="E137" s="28" t="s">
        <v>32</v>
      </c>
      <c r="F137" s="28" t="s">
        <v>218</v>
      </c>
      <c r="G137" s="29">
        <v>42646</v>
      </c>
      <c r="H137" s="30">
        <v>1024305</v>
      </c>
      <c r="I137" s="28" t="str">
        <f>VLOOKUP('S&amp;P 500'!$E137,'Converted GISC'!$A$1:$C$159,2,FALSE)</f>
        <v>Personal Products</v>
      </c>
    </row>
    <row r="138" spans="1:9" x14ac:dyDescent="0.25">
      <c r="A138" s="25" t="s">
        <v>529</v>
      </c>
      <c r="B138" s="25" t="s">
        <v>530</v>
      </c>
      <c r="C138" s="25" t="s">
        <v>106</v>
      </c>
      <c r="D138" s="25" t="s">
        <v>80</v>
      </c>
      <c r="E138" s="25" t="s">
        <v>223</v>
      </c>
      <c r="F138" s="25" t="s">
        <v>271</v>
      </c>
      <c r="G138" s="26">
        <v>40982</v>
      </c>
      <c r="H138" s="27">
        <v>1051470</v>
      </c>
      <c r="I138" s="25" t="str">
        <f>VLOOKUP('S&amp;P 500'!$E138,'Converted GISC'!$A$1:$C$159,2,FALSE)</f>
        <v>Equity Real Estate Investment Trusts (REITs)</v>
      </c>
    </row>
    <row r="139" spans="1:9" x14ac:dyDescent="0.25">
      <c r="A139" s="28" t="s">
        <v>531</v>
      </c>
      <c r="B139" s="28" t="s">
        <v>532</v>
      </c>
      <c r="C139" s="28" t="s">
        <v>106</v>
      </c>
      <c r="D139" s="28" t="s">
        <v>78</v>
      </c>
      <c r="E139" s="28" t="s">
        <v>116</v>
      </c>
      <c r="F139" s="28" t="s">
        <v>533</v>
      </c>
      <c r="G139" s="29">
        <v>42339</v>
      </c>
      <c r="H139" s="30">
        <v>1646383</v>
      </c>
      <c r="I139" s="28" t="str">
        <f>VLOOKUP('S&amp;P 500'!$E139,'Converted GISC'!$A$1:$C$159,2,FALSE)</f>
        <v>IT Services</v>
      </c>
    </row>
    <row r="140" spans="1:9" x14ac:dyDescent="0.25">
      <c r="A140" s="25" t="s">
        <v>534</v>
      </c>
      <c r="B140" s="25" t="s">
        <v>535</v>
      </c>
      <c r="C140" s="25" t="s">
        <v>106</v>
      </c>
      <c r="D140" s="25" t="s">
        <v>77</v>
      </c>
      <c r="E140" s="25" t="s">
        <v>536</v>
      </c>
      <c r="F140" s="25" t="s">
        <v>537</v>
      </c>
      <c r="G140" s="26">
        <v>24745</v>
      </c>
      <c r="H140" s="27">
        <v>277948</v>
      </c>
      <c r="I140" s="25" t="str">
        <f>VLOOKUP('S&amp;P 500'!$E140,'Converted GISC'!$A$1:$C$159,2,FALSE)</f>
        <v>Road &amp; Rail</v>
      </c>
    </row>
    <row r="141" spans="1:9" x14ac:dyDescent="0.25">
      <c r="A141" s="28" t="s">
        <v>538</v>
      </c>
      <c r="B141" s="28" t="s">
        <v>539</v>
      </c>
      <c r="C141" s="28" t="s">
        <v>106</v>
      </c>
      <c r="D141" s="28" t="s">
        <v>77</v>
      </c>
      <c r="E141" s="28" t="s">
        <v>540</v>
      </c>
      <c r="F141" s="28" t="s">
        <v>541</v>
      </c>
      <c r="G141" s="29">
        <v>23832</v>
      </c>
      <c r="H141" s="30">
        <v>26172</v>
      </c>
      <c r="I141" s="28" t="str">
        <f>VLOOKUP('S&amp;P 500'!$E141,'Converted GISC'!$A$1:$C$159,2,FALSE)</f>
        <v>Machinery</v>
      </c>
    </row>
    <row r="142" spans="1:9" x14ac:dyDescent="0.25">
      <c r="A142" s="25" t="s">
        <v>542</v>
      </c>
      <c r="B142" s="25" t="s">
        <v>543</v>
      </c>
      <c r="C142" s="25" t="s">
        <v>106</v>
      </c>
      <c r="D142" s="25" t="s">
        <v>73</v>
      </c>
      <c r="E142" s="25" t="s">
        <v>544</v>
      </c>
      <c r="F142" s="25" t="s">
        <v>545</v>
      </c>
      <c r="G142" s="26"/>
      <c r="H142" s="27">
        <v>64803</v>
      </c>
      <c r="I142" s="25" t="str">
        <f>VLOOKUP('S&amp;P 500'!$E142,'Converted GISC'!$A$1:$C$159,2,FALSE)</f>
        <v>Food &amp; Staples Retailing</v>
      </c>
    </row>
    <row r="143" spans="1:9" x14ac:dyDescent="0.25">
      <c r="A143" s="28" t="s">
        <v>546</v>
      </c>
      <c r="B143" s="28" t="s">
        <v>547</v>
      </c>
      <c r="C143" s="28" t="s">
        <v>106</v>
      </c>
      <c r="D143" s="28" t="s">
        <v>72</v>
      </c>
      <c r="E143" s="28" t="s">
        <v>548</v>
      </c>
      <c r="F143" s="28" t="s">
        <v>212</v>
      </c>
      <c r="G143" s="29"/>
      <c r="H143" s="30">
        <v>882184</v>
      </c>
      <c r="I143" s="28" t="str">
        <f>VLOOKUP('S&amp;P 500'!$E143,'Converted GISC'!$A$1:$C$159,2,FALSE)</f>
        <v>Household Durables</v>
      </c>
    </row>
    <row r="144" spans="1:9" x14ac:dyDescent="0.25">
      <c r="A144" s="25" t="s">
        <v>549</v>
      </c>
      <c r="B144" s="25" t="s">
        <v>550</v>
      </c>
      <c r="C144" s="25" t="s">
        <v>106</v>
      </c>
      <c r="D144" s="25" t="s">
        <v>76</v>
      </c>
      <c r="E144" s="25" t="s">
        <v>110</v>
      </c>
      <c r="F144" s="25" t="s">
        <v>551</v>
      </c>
      <c r="G144" s="26"/>
      <c r="H144" s="27">
        <v>313616</v>
      </c>
      <c r="I144" s="25" t="str">
        <f>VLOOKUP('S&amp;P 500'!$E144,'Converted GISC'!$A$1:$C$159,2,FALSE)</f>
        <v>Health Care Equipment &amp; Supplies</v>
      </c>
    </row>
    <row r="145" spans="1:9" x14ac:dyDescent="0.25">
      <c r="A145" s="28" t="s">
        <v>552</v>
      </c>
      <c r="B145" s="28" t="s">
        <v>553</v>
      </c>
      <c r="C145" s="28" t="s">
        <v>106</v>
      </c>
      <c r="D145" s="28" t="s">
        <v>72</v>
      </c>
      <c r="E145" s="28" t="s">
        <v>456</v>
      </c>
      <c r="F145" s="28" t="s">
        <v>554</v>
      </c>
      <c r="G145" s="29"/>
      <c r="H145" s="30">
        <v>940944</v>
      </c>
      <c r="I145" s="28" t="str">
        <f>VLOOKUP('S&amp;P 500'!$E145,'Converted GISC'!$A$1:$C$159,2,FALSE)</f>
        <v>Hotels, Restaurants &amp; Leisure</v>
      </c>
    </row>
    <row r="146" spans="1:9" x14ac:dyDescent="0.25">
      <c r="A146" s="25" t="s">
        <v>555</v>
      </c>
      <c r="B146" s="25" t="s">
        <v>556</v>
      </c>
      <c r="C146" s="25" t="s">
        <v>106</v>
      </c>
      <c r="D146" s="25" t="s">
        <v>76</v>
      </c>
      <c r="E146" s="25" t="s">
        <v>557</v>
      </c>
      <c r="F146" s="25" t="s">
        <v>275</v>
      </c>
      <c r="G146" s="26">
        <v>39660</v>
      </c>
      <c r="H146" s="27">
        <v>927066</v>
      </c>
      <c r="I146" s="25" t="str">
        <f>VLOOKUP('S&amp;P 500'!$E146,'Converted GISC'!$A$1:$C$159,2,FALSE)</f>
        <v>Health Care Providers &amp; Services</v>
      </c>
    </row>
    <row r="147" spans="1:9" x14ac:dyDescent="0.25">
      <c r="A147" s="28" t="s">
        <v>558</v>
      </c>
      <c r="B147" s="28" t="s">
        <v>559</v>
      </c>
      <c r="C147" s="28" t="s">
        <v>106</v>
      </c>
      <c r="D147" s="28" t="s">
        <v>77</v>
      </c>
      <c r="E147" s="28" t="s">
        <v>560</v>
      </c>
      <c r="F147" s="28" t="s">
        <v>561</v>
      </c>
      <c r="G147" s="29"/>
      <c r="H147" s="30">
        <v>315189</v>
      </c>
      <c r="I147" s="28" t="str">
        <f>VLOOKUP('S&amp;P 500'!$E147,'Converted GISC'!$A$1:$C$159,2,FALSE)</f>
        <v>Machinery</v>
      </c>
    </row>
    <row r="148" spans="1:9" x14ac:dyDescent="0.25">
      <c r="A148" s="25" t="s">
        <v>562</v>
      </c>
      <c r="B148" s="25" t="s">
        <v>563</v>
      </c>
      <c r="C148" s="25" t="s">
        <v>106</v>
      </c>
      <c r="D148" s="25" t="s">
        <v>77</v>
      </c>
      <c r="E148" s="25" t="s">
        <v>44</v>
      </c>
      <c r="F148" s="25" t="s">
        <v>125</v>
      </c>
      <c r="G148" s="26">
        <v>41528</v>
      </c>
      <c r="H148" s="27">
        <v>27904</v>
      </c>
      <c r="I148" s="25" t="str">
        <f>VLOOKUP('S&amp;P 500'!$E148,'Converted GISC'!$A$1:$C$159,2,FALSE)</f>
        <v>Airlines</v>
      </c>
    </row>
    <row r="149" spans="1:9" x14ac:dyDescent="0.25">
      <c r="A149" s="28" t="s">
        <v>564</v>
      </c>
      <c r="B149" s="28" t="s">
        <v>565</v>
      </c>
      <c r="C149" s="28" t="s">
        <v>106</v>
      </c>
      <c r="D149" s="28" t="s">
        <v>76</v>
      </c>
      <c r="E149" s="28" t="s">
        <v>180</v>
      </c>
      <c r="F149" s="28" t="s">
        <v>566</v>
      </c>
      <c r="G149" s="29">
        <v>39766</v>
      </c>
      <c r="H149" s="30">
        <v>818479</v>
      </c>
      <c r="I149" s="28" t="str">
        <f>VLOOKUP('S&amp;P 500'!$E149,'Converted GISC'!$A$1:$C$159,2,FALSE)</f>
        <v>Health Care Equipment &amp; Supplies</v>
      </c>
    </row>
    <row r="150" spans="1:9" x14ac:dyDescent="0.25">
      <c r="A150" s="25" t="s">
        <v>567</v>
      </c>
      <c r="B150" s="25" t="s">
        <v>568</v>
      </c>
      <c r="C150" s="25" t="s">
        <v>106</v>
      </c>
      <c r="D150" s="25" t="s">
        <v>74</v>
      </c>
      <c r="E150" s="25" t="s">
        <v>247</v>
      </c>
      <c r="F150" s="25" t="s">
        <v>449</v>
      </c>
      <c r="G150" s="26">
        <v>36768</v>
      </c>
      <c r="H150" s="27">
        <v>1090012</v>
      </c>
      <c r="I150" s="25" t="str">
        <f>VLOOKUP('S&amp;P 500'!$E150,'Converted GISC'!$A$1:$C$159,2,FALSE)</f>
        <v>Oil, Gas &amp; Consumable Fuels</v>
      </c>
    </row>
    <row r="151" spans="1:9" x14ac:dyDescent="0.25">
      <c r="A151" s="28" t="s">
        <v>569</v>
      </c>
      <c r="B151" s="28" t="s">
        <v>570</v>
      </c>
      <c r="C151" s="28" t="s">
        <v>106</v>
      </c>
      <c r="D151" s="28" t="s">
        <v>80</v>
      </c>
      <c r="E151" s="28" t="s">
        <v>223</v>
      </c>
      <c r="F151" s="28" t="s">
        <v>442</v>
      </c>
      <c r="G151" s="29">
        <v>42508</v>
      </c>
      <c r="H151" s="30">
        <v>1297996</v>
      </c>
      <c r="I151" s="28" t="str">
        <f>VLOOKUP('S&amp;P 500'!$E151,'Converted GISC'!$A$1:$C$159,2,FALSE)</f>
        <v>Equity Real Estate Investment Trusts (REITs)</v>
      </c>
    </row>
    <row r="152" spans="1:9" x14ac:dyDescent="0.25">
      <c r="A152" s="25" t="s">
        <v>571</v>
      </c>
      <c r="B152" s="25" t="s">
        <v>572</v>
      </c>
      <c r="C152" s="25" t="s">
        <v>106</v>
      </c>
      <c r="D152" s="25" t="s">
        <v>75</v>
      </c>
      <c r="E152" s="25" t="s">
        <v>0</v>
      </c>
      <c r="F152" s="25" t="s">
        <v>573</v>
      </c>
      <c r="G152" s="26">
        <v>39265</v>
      </c>
      <c r="H152" s="27">
        <v>1393612</v>
      </c>
      <c r="I152" s="25" t="str">
        <f>VLOOKUP('S&amp;P 500'!$E152,'Converted GISC'!$A$1:$C$159,2,FALSE)</f>
        <v>Consumer Finance</v>
      </c>
    </row>
    <row r="153" spans="1:9" x14ac:dyDescent="0.25">
      <c r="A153" s="28" t="s">
        <v>574</v>
      </c>
      <c r="B153" s="28" t="s">
        <v>575</v>
      </c>
      <c r="C153" s="28" t="s">
        <v>106</v>
      </c>
      <c r="D153" s="28" t="s">
        <v>72</v>
      </c>
      <c r="E153" s="28" t="s">
        <v>445</v>
      </c>
      <c r="F153" s="28" t="s">
        <v>576</v>
      </c>
      <c r="G153" s="29">
        <v>40238</v>
      </c>
      <c r="H153" s="30">
        <v>1437107</v>
      </c>
      <c r="I153" s="28" t="str">
        <f>VLOOKUP('S&amp;P 500'!$E153,'Converted GISC'!$A$1:$C$159,2,FALSE)</f>
        <v>Media</v>
      </c>
    </row>
    <row r="154" spans="1:9" x14ac:dyDescent="0.25">
      <c r="A154" s="25" t="s">
        <v>577</v>
      </c>
      <c r="B154" s="25" t="s">
        <v>578</v>
      </c>
      <c r="C154" s="25" t="s">
        <v>106</v>
      </c>
      <c r="D154" s="25" t="s">
        <v>72</v>
      </c>
      <c r="E154" s="25" t="s">
        <v>445</v>
      </c>
      <c r="F154" s="25" t="s">
        <v>576</v>
      </c>
      <c r="G154" s="26">
        <v>41858</v>
      </c>
      <c r="H154" s="27">
        <v>1437107</v>
      </c>
      <c r="I154" s="25" t="str">
        <f>VLOOKUP('S&amp;P 500'!$E154,'Converted GISC'!$A$1:$C$159,2,FALSE)</f>
        <v>Media</v>
      </c>
    </row>
    <row r="155" spans="1:9" x14ac:dyDescent="0.25">
      <c r="A155" s="28" t="s">
        <v>579</v>
      </c>
      <c r="B155" s="28" t="s">
        <v>580</v>
      </c>
      <c r="C155" s="28" t="s">
        <v>106</v>
      </c>
      <c r="D155" s="28" t="s">
        <v>72</v>
      </c>
      <c r="E155" s="28" t="s">
        <v>445</v>
      </c>
      <c r="F155" s="28" t="s">
        <v>581</v>
      </c>
      <c r="G155" s="29">
        <v>42807</v>
      </c>
      <c r="H155" s="30">
        <v>1001082</v>
      </c>
      <c r="I155" s="28" t="str">
        <f>VLOOKUP('S&amp;P 500'!$E155,'Converted GISC'!$A$1:$C$159,2,FALSE)</f>
        <v>Media</v>
      </c>
    </row>
    <row r="156" spans="1:9" x14ac:dyDescent="0.25">
      <c r="A156" s="25" t="s">
        <v>582</v>
      </c>
      <c r="B156" s="25" t="s">
        <v>583</v>
      </c>
      <c r="C156" s="25" t="s">
        <v>106</v>
      </c>
      <c r="D156" s="25" t="s">
        <v>72</v>
      </c>
      <c r="E156" s="25" t="s">
        <v>584</v>
      </c>
      <c r="F156" s="25" t="s">
        <v>585</v>
      </c>
      <c r="G156" s="26">
        <v>41246</v>
      </c>
      <c r="H156" s="27">
        <v>29534</v>
      </c>
      <c r="I156" s="25" t="str">
        <f>VLOOKUP('S&amp;P 500'!$E156,'Converted GISC'!$A$1:$C$159,2,FALSE)</f>
        <v>Multiline Retail</v>
      </c>
    </row>
    <row r="157" spans="1:9" x14ac:dyDescent="0.25">
      <c r="A157" s="28" t="s">
        <v>586</v>
      </c>
      <c r="B157" s="28" t="s">
        <v>587</v>
      </c>
      <c r="C157" s="28" t="s">
        <v>106</v>
      </c>
      <c r="D157" s="28" t="s">
        <v>72</v>
      </c>
      <c r="E157" s="28" t="s">
        <v>584</v>
      </c>
      <c r="F157" s="28" t="s">
        <v>588</v>
      </c>
      <c r="G157" s="29">
        <v>40896</v>
      </c>
      <c r="H157" s="30">
        <v>935703</v>
      </c>
      <c r="I157" s="28" t="str">
        <f>VLOOKUP('S&amp;P 500'!$E157,'Converted GISC'!$A$1:$C$159,2,FALSE)</f>
        <v>Multiline Retail</v>
      </c>
    </row>
    <row r="158" spans="1:9" x14ac:dyDescent="0.25">
      <c r="A158" s="25" t="s">
        <v>589</v>
      </c>
      <c r="B158" s="25" t="s">
        <v>590</v>
      </c>
      <c r="C158" s="25" t="s">
        <v>106</v>
      </c>
      <c r="D158" s="25" t="s">
        <v>82</v>
      </c>
      <c r="E158" s="25" t="s">
        <v>11</v>
      </c>
      <c r="F158" s="25" t="s">
        <v>203</v>
      </c>
      <c r="G158" s="26"/>
      <c r="H158" s="27">
        <v>715957</v>
      </c>
      <c r="I158" s="25" t="str">
        <f>VLOOKUP('S&amp;P 500'!$E158,'Converted GISC'!$A$1:$C$159,2,FALSE)</f>
        <v>Electric Utilities</v>
      </c>
    </row>
    <row r="159" spans="1:9" x14ac:dyDescent="0.25">
      <c r="A159" s="28" t="s">
        <v>591</v>
      </c>
      <c r="B159" s="28" t="s">
        <v>592</v>
      </c>
      <c r="C159" s="28" t="s">
        <v>106</v>
      </c>
      <c r="D159" s="28" t="s">
        <v>77</v>
      </c>
      <c r="E159" s="28" t="s">
        <v>540</v>
      </c>
      <c r="F159" s="28" t="s">
        <v>593</v>
      </c>
      <c r="G159" s="29">
        <v>31351</v>
      </c>
      <c r="H159" s="30">
        <v>29905</v>
      </c>
      <c r="I159" s="28" t="str">
        <f>VLOOKUP('S&amp;P 500'!$E159,'Converted GISC'!$A$1:$C$159,2,FALSE)</f>
        <v>Machinery</v>
      </c>
    </row>
    <row r="160" spans="1:9" x14ac:dyDescent="0.25">
      <c r="A160" s="25" t="s">
        <v>594</v>
      </c>
      <c r="B160" s="25" t="s">
        <v>595</v>
      </c>
      <c r="C160" s="25" t="s">
        <v>106</v>
      </c>
      <c r="D160" s="25" t="s">
        <v>79</v>
      </c>
      <c r="E160" s="25" t="s">
        <v>596</v>
      </c>
      <c r="F160" s="25" t="s">
        <v>597</v>
      </c>
      <c r="G160" s="26"/>
      <c r="H160" s="27">
        <v>1666700</v>
      </c>
      <c r="I160" s="25" t="str">
        <f>VLOOKUP('S&amp;P 500'!$E160,'Converted GISC'!$A$1:$C$159,2,FALSE)</f>
        <v>Chemicals</v>
      </c>
    </row>
    <row r="161" spans="1:9" x14ac:dyDescent="0.25">
      <c r="A161" s="28" t="s">
        <v>598</v>
      </c>
      <c r="B161" s="28" t="s">
        <v>599</v>
      </c>
      <c r="C161" s="28" t="s">
        <v>106</v>
      </c>
      <c r="D161" s="28" t="s">
        <v>73</v>
      </c>
      <c r="E161" s="28" t="s">
        <v>495</v>
      </c>
      <c r="F161" s="28" t="s">
        <v>188</v>
      </c>
      <c r="G161" s="29">
        <v>39728</v>
      </c>
      <c r="H161" s="30">
        <v>1418135</v>
      </c>
      <c r="I161" s="28" t="str">
        <f>VLOOKUP('S&amp;P 500'!$E161,'Converted GISC'!$A$1:$C$159,2,FALSE)</f>
        <v>Beverages</v>
      </c>
    </row>
    <row r="162" spans="1:9" x14ac:dyDescent="0.25">
      <c r="A162" s="25" t="s">
        <v>600</v>
      </c>
      <c r="B162" s="25" t="s">
        <v>601</v>
      </c>
      <c r="C162" s="25" t="s">
        <v>106</v>
      </c>
      <c r="D162" s="25" t="s">
        <v>82</v>
      </c>
      <c r="E162" s="25" t="s">
        <v>14</v>
      </c>
      <c r="F162" s="25" t="s">
        <v>602</v>
      </c>
      <c r="G162" s="26"/>
      <c r="H162" s="27">
        <v>936340</v>
      </c>
      <c r="I162" s="25" t="str">
        <f>VLOOKUP('S&amp;P 500'!$E162,'Converted GISC'!$A$1:$C$159,2,FALSE)</f>
        <v>Multi-Utilities</v>
      </c>
    </row>
    <row r="163" spans="1:9" x14ac:dyDescent="0.25">
      <c r="A163" s="28" t="s">
        <v>603</v>
      </c>
      <c r="B163" s="28" t="s">
        <v>604</v>
      </c>
      <c r="C163" s="28" t="s">
        <v>106</v>
      </c>
      <c r="D163" s="28" t="s">
        <v>80</v>
      </c>
      <c r="E163" s="28" t="s">
        <v>605</v>
      </c>
      <c r="F163" s="28" t="s">
        <v>261</v>
      </c>
      <c r="G163" s="29">
        <v>42942</v>
      </c>
      <c r="H163" s="30">
        <v>783280</v>
      </c>
      <c r="I163" s="28" t="str">
        <f>VLOOKUP('S&amp;P 500'!$E163,'Converted GISC'!$A$1:$C$159,2,FALSE)</f>
        <v>Equity Real Estate Investment Trusts (REITs)</v>
      </c>
    </row>
    <row r="164" spans="1:9" x14ac:dyDescent="0.25">
      <c r="A164" s="25" t="s">
        <v>606</v>
      </c>
      <c r="B164" s="25" t="s">
        <v>607</v>
      </c>
      <c r="C164" s="25" t="s">
        <v>106</v>
      </c>
      <c r="D164" s="25" t="s">
        <v>82</v>
      </c>
      <c r="E164" s="25" t="s">
        <v>11</v>
      </c>
      <c r="F164" s="25" t="s">
        <v>328</v>
      </c>
      <c r="G164" s="26">
        <v>27941</v>
      </c>
      <c r="H164" s="27">
        <v>1326160</v>
      </c>
      <c r="I164" s="25" t="str">
        <f>VLOOKUP('S&amp;P 500'!$E164,'Converted GISC'!$A$1:$C$159,2,FALSE)</f>
        <v>Electric Utilities</v>
      </c>
    </row>
    <row r="165" spans="1:9" x14ac:dyDescent="0.25">
      <c r="A165" s="28" t="s">
        <v>608</v>
      </c>
      <c r="B165" s="28" t="s">
        <v>609</v>
      </c>
      <c r="C165" s="28" t="s">
        <v>106</v>
      </c>
      <c r="D165" s="28" t="s">
        <v>78</v>
      </c>
      <c r="E165" s="28" t="s">
        <v>116</v>
      </c>
      <c r="F165" s="28" t="s">
        <v>398</v>
      </c>
      <c r="G165" s="29">
        <v>42829</v>
      </c>
      <c r="H165" s="30">
        <v>1688568</v>
      </c>
      <c r="I165" s="28" t="str">
        <f>VLOOKUP('S&amp;P 500'!$E165,'Converted GISC'!$A$1:$C$159,2,FALSE)</f>
        <v>IT Services</v>
      </c>
    </row>
    <row r="166" spans="1:9" x14ac:dyDescent="0.25">
      <c r="A166" s="25" t="s">
        <v>610</v>
      </c>
      <c r="B166" s="25" t="s">
        <v>611</v>
      </c>
      <c r="C166" s="25" t="s">
        <v>106</v>
      </c>
      <c r="D166" s="25" t="s">
        <v>75</v>
      </c>
      <c r="E166" s="25" t="s">
        <v>441</v>
      </c>
      <c r="F166" s="25" t="s">
        <v>218</v>
      </c>
      <c r="G166" s="26">
        <v>38077</v>
      </c>
      <c r="H166" s="27">
        <v>1015780</v>
      </c>
      <c r="I166" s="25" t="str">
        <f>VLOOKUP('S&amp;P 500'!$E166,'Converted GISC'!$A$1:$C$159,2,FALSE)</f>
        <v>Capital Markets</v>
      </c>
    </row>
    <row r="167" spans="1:9" x14ac:dyDescent="0.25">
      <c r="A167" s="28" t="s">
        <v>612</v>
      </c>
      <c r="B167" s="28" t="s">
        <v>613</v>
      </c>
      <c r="C167" s="28" t="s">
        <v>106</v>
      </c>
      <c r="D167" s="28" t="s">
        <v>79</v>
      </c>
      <c r="E167" s="28" t="s">
        <v>596</v>
      </c>
      <c r="F167" s="28" t="s">
        <v>614</v>
      </c>
      <c r="G167" s="29">
        <v>34335</v>
      </c>
      <c r="H167" s="30">
        <v>915389</v>
      </c>
      <c r="I167" s="28" t="str">
        <f>VLOOKUP('S&amp;P 500'!$E167,'Converted GISC'!$A$1:$C$159,2,FALSE)</f>
        <v>Chemicals</v>
      </c>
    </row>
    <row r="168" spans="1:9" x14ac:dyDescent="0.25">
      <c r="A168" s="25" t="s">
        <v>615</v>
      </c>
      <c r="B168" s="25" t="s">
        <v>616</v>
      </c>
      <c r="C168" s="25" t="s">
        <v>106</v>
      </c>
      <c r="D168" s="25" t="s">
        <v>77</v>
      </c>
      <c r="E168" s="25" t="s">
        <v>124</v>
      </c>
      <c r="F168" s="25" t="s">
        <v>117</v>
      </c>
      <c r="G168" s="26"/>
      <c r="H168" s="27">
        <v>1551182</v>
      </c>
      <c r="I168" s="25" t="str">
        <f>VLOOKUP('S&amp;P 500'!$E168,'Converted GISC'!$A$1:$C$159,2,FALSE)</f>
        <v>Electrical Equipment</v>
      </c>
    </row>
    <row r="169" spans="1:9" x14ac:dyDescent="0.25">
      <c r="A169" s="28" t="s">
        <v>617</v>
      </c>
      <c r="B169" s="28" t="s">
        <v>618</v>
      </c>
      <c r="C169" s="28" t="s">
        <v>106</v>
      </c>
      <c r="D169" s="28" t="s">
        <v>78</v>
      </c>
      <c r="E169" s="28" t="s">
        <v>59</v>
      </c>
      <c r="F169" s="28" t="s">
        <v>129</v>
      </c>
      <c r="G169" s="29"/>
      <c r="H169" s="30">
        <v>1065088</v>
      </c>
      <c r="I169" s="28" t="str">
        <f>VLOOKUP('S&amp;P 500'!$E169,'Converted GISC'!$A$1:$C$159,2,FALSE)</f>
        <v>Internet Software &amp; Services</v>
      </c>
    </row>
    <row r="170" spans="1:9" x14ac:dyDescent="0.25">
      <c r="A170" s="25" t="s">
        <v>619</v>
      </c>
      <c r="B170" s="25" t="s">
        <v>620</v>
      </c>
      <c r="C170" s="25" t="s">
        <v>106</v>
      </c>
      <c r="D170" s="25" t="s">
        <v>79</v>
      </c>
      <c r="E170" s="25" t="s">
        <v>169</v>
      </c>
      <c r="F170" s="25" t="s">
        <v>107</v>
      </c>
      <c r="G170" s="26">
        <v>32539</v>
      </c>
      <c r="H170" s="27">
        <v>31462</v>
      </c>
      <c r="I170" s="25" t="str">
        <f>VLOOKUP('S&amp;P 500'!$E170,'Converted GISC'!$A$1:$C$159,2,FALSE)</f>
        <v>Chemicals</v>
      </c>
    </row>
    <row r="171" spans="1:9" x14ac:dyDescent="0.25">
      <c r="A171" s="28" t="s">
        <v>621</v>
      </c>
      <c r="B171" s="28" t="s">
        <v>622</v>
      </c>
      <c r="C171" s="28" t="s">
        <v>106</v>
      </c>
      <c r="D171" s="28" t="s">
        <v>82</v>
      </c>
      <c r="E171" s="28" t="s">
        <v>11</v>
      </c>
      <c r="F171" s="28" t="s">
        <v>623</v>
      </c>
      <c r="G171" s="29"/>
      <c r="H171" s="30">
        <v>827052</v>
      </c>
      <c r="I171" s="28" t="str">
        <f>VLOOKUP('S&amp;P 500'!$E171,'Converted GISC'!$A$1:$C$159,2,FALSE)</f>
        <v>Electric Utilities</v>
      </c>
    </row>
    <row r="172" spans="1:9" x14ac:dyDescent="0.25">
      <c r="A172" s="25" t="s">
        <v>624</v>
      </c>
      <c r="B172" s="25" t="s">
        <v>625</v>
      </c>
      <c r="C172" s="25" t="s">
        <v>106</v>
      </c>
      <c r="D172" s="25" t="s">
        <v>76</v>
      </c>
      <c r="E172" s="25" t="s">
        <v>110</v>
      </c>
      <c r="F172" s="25" t="s">
        <v>626</v>
      </c>
      <c r="G172" s="26">
        <v>40634</v>
      </c>
      <c r="H172" s="27">
        <v>1099800</v>
      </c>
      <c r="I172" s="25" t="str">
        <f>VLOOKUP('S&amp;P 500'!$E172,'Converted GISC'!$A$1:$C$159,2,FALSE)</f>
        <v>Health Care Equipment &amp; Supplies</v>
      </c>
    </row>
    <row r="173" spans="1:9" x14ac:dyDescent="0.25">
      <c r="A173" s="28" t="s">
        <v>627</v>
      </c>
      <c r="B173" s="28" t="s">
        <v>628</v>
      </c>
      <c r="C173" s="28" t="s">
        <v>106</v>
      </c>
      <c r="D173" s="28" t="s">
        <v>78</v>
      </c>
      <c r="E173" s="28" t="s">
        <v>120</v>
      </c>
      <c r="F173" s="28" t="s">
        <v>629</v>
      </c>
      <c r="G173" s="29">
        <v>37459</v>
      </c>
      <c r="H173" s="30">
        <v>712515</v>
      </c>
      <c r="I173" s="28" t="str">
        <f>VLOOKUP('S&amp;P 500'!$E173,'Converted GISC'!$A$1:$C$159,2,FALSE)</f>
        <v>Software</v>
      </c>
    </row>
    <row r="174" spans="1:9" x14ac:dyDescent="0.25">
      <c r="A174" s="25" t="s">
        <v>630</v>
      </c>
      <c r="B174" s="25" t="s">
        <v>631</v>
      </c>
      <c r="C174" s="25" t="s">
        <v>106</v>
      </c>
      <c r="D174" s="25" t="s">
        <v>77</v>
      </c>
      <c r="E174" s="25" t="s">
        <v>124</v>
      </c>
      <c r="F174" s="25" t="s">
        <v>632</v>
      </c>
      <c r="G174" s="26">
        <v>23832</v>
      </c>
      <c r="H174" s="27">
        <v>32604</v>
      </c>
      <c r="I174" s="25" t="str">
        <f>VLOOKUP('S&amp;P 500'!$E174,'Converted GISC'!$A$1:$C$159,2,FALSE)</f>
        <v>Electrical Equipment</v>
      </c>
    </row>
    <row r="175" spans="1:9" x14ac:dyDescent="0.25">
      <c r="A175" s="28" t="s">
        <v>633</v>
      </c>
      <c r="B175" s="28" t="s">
        <v>634</v>
      </c>
      <c r="C175" s="28" t="s">
        <v>106</v>
      </c>
      <c r="D175" s="28" t="s">
        <v>82</v>
      </c>
      <c r="E175" s="28" t="s">
        <v>11</v>
      </c>
      <c r="F175" s="28" t="s">
        <v>635</v>
      </c>
      <c r="G175" s="29"/>
      <c r="H175" s="30">
        <v>65984</v>
      </c>
      <c r="I175" s="28" t="str">
        <f>VLOOKUP('S&amp;P 500'!$E175,'Converted GISC'!$A$1:$C$159,2,FALSE)</f>
        <v>Electric Utilities</v>
      </c>
    </row>
    <row r="176" spans="1:9" x14ac:dyDescent="0.25">
      <c r="A176" s="25" t="s">
        <v>636</v>
      </c>
      <c r="B176" s="25" t="s">
        <v>637</v>
      </c>
      <c r="C176" s="25" t="s">
        <v>106</v>
      </c>
      <c r="D176" s="25" t="s">
        <v>76</v>
      </c>
      <c r="E176" s="25" t="s">
        <v>638</v>
      </c>
      <c r="F176" s="25" t="s">
        <v>639</v>
      </c>
      <c r="G176" s="26">
        <v>42706</v>
      </c>
      <c r="H176" s="27">
        <v>895930</v>
      </c>
      <c r="I176" s="25" t="str">
        <f>VLOOKUP('S&amp;P 500'!$E176,'Converted GISC'!$A$1:$C$159,2,FALSE)</f>
        <v>Health Care Providers &amp; Services</v>
      </c>
    </row>
    <row r="177" spans="1:9" x14ac:dyDescent="0.25">
      <c r="A177" s="28" t="s">
        <v>640</v>
      </c>
      <c r="B177" s="28" t="s">
        <v>641</v>
      </c>
      <c r="C177" s="28" t="s">
        <v>106</v>
      </c>
      <c r="D177" s="28" t="s">
        <v>74</v>
      </c>
      <c r="E177" s="28" t="s">
        <v>247</v>
      </c>
      <c r="F177" s="28" t="s">
        <v>271</v>
      </c>
      <c r="G177" s="29">
        <v>36832</v>
      </c>
      <c r="H177" s="30">
        <v>821189</v>
      </c>
      <c r="I177" s="28" t="str">
        <f>VLOOKUP('S&amp;P 500'!$E177,'Converted GISC'!$A$1:$C$159,2,FALSE)</f>
        <v>Oil, Gas &amp; Consumable Fuels</v>
      </c>
    </row>
    <row r="178" spans="1:9" x14ac:dyDescent="0.25">
      <c r="A178" s="25" t="s">
        <v>642</v>
      </c>
      <c r="B178" s="25" t="s">
        <v>643</v>
      </c>
      <c r="C178" s="25" t="s">
        <v>106</v>
      </c>
      <c r="D178" s="25" t="s">
        <v>74</v>
      </c>
      <c r="E178" s="25" t="s">
        <v>247</v>
      </c>
      <c r="F178" s="25" t="s">
        <v>644</v>
      </c>
      <c r="G178" s="26">
        <v>39801</v>
      </c>
      <c r="H178" s="27">
        <v>33213</v>
      </c>
      <c r="I178" s="25" t="str">
        <f>VLOOKUP('S&amp;P 500'!$E178,'Converted GISC'!$A$1:$C$159,2,FALSE)</f>
        <v>Oil, Gas &amp; Consumable Fuels</v>
      </c>
    </row>
    <row r="179" spans="1:9" x14ac:dyDescent="0.25">
      <c r="A179" s="28" t="s">
        <v>645</v>
      </c>
      <c r="B179" s="28" t="s">
        <v>646</v>
      </c>
      <c r="C179" s="28" t="s">
        <v>106</v>
      </c>
      <c r="D179" s="28" t="s">
        <v>77</v>
      </c>
      <c r="E179" s="28" t="s">
        <v>647</v>
      </c>
      <c r="F179" s="28" t="s">
        <v>125</v>
      </c>
      <c r="G179" s="29">
        <v>35600</v>
      </c>
      <c r="H179" s="30">
        <v>33185</v>
      </c>
      <c r="I179" s="28" t="str">
        <f>VLOOKUP('S&amp;P 500'!$E179,'Converted GISC'!$A$1:$C$159,2,FALSE)</f>
        <v>Professional Services</v>
      </c>
    </row>
    <row r="180" spans="1:9" x14ac:dyDescent="0.25">
      <c r="A180" s="25" t="s">
        <v>648</v>
      </c>
      <c r="B180" s="25" t="s">
        <v>649</v>
      </c>
      <c r="C180" s="25" t="s">
        <v>106</v>
      </c>
      <c r="D180" s="25" t="s">
        <v>80</v>
      </c>
      <c r="E180" s="25" t="s">
        <v>223</v>
      </c>
      <c r="F180" s="25" t="s">
        <v>629</v>
      </c>
      <c r="G180" s="26">
        <v>42083</v>
      </c>
      <c r="H180" s="27">
        <v>1101239</v>
      </c>
      <c r="I180" s="25" t="str">
        <f>VLOOKUP('S&amp;P 500'!$E180,'Converted GISC'!$A$1:$C$159,2,FALSE)</f>
        <v>Equity Real Estate Investment Trusts (REITs)</v>
      </c>
    </row>
    <row r="181" spans="1:9" x14ac:dyDescent="0.25">
      <c r="A181" s="28" t="s">
        <v>650</v>
      </c>
      <c r="B181" s="28" t="s">
        <v>651</v>
      </c>
      <c r="C181" s="28" t="s">
        <v>106</v>
      </c>
      <c r="D181" s="28" t="s">
        <v>80</v>
      </c>
      <c r="E181" s="28" t="s">
        <v>274</v>
      </c>
      <c r="F181" s="28" t="s">
        <v>359</v>
      </c>
      <c r="G181" s="29">
        <v>37228</v>
      </c>
      <c r="H181" s="30">
        <v>906107</v>
      </c>
      <c r="I181" s="28" t="str">
        <f>VLOOKUP('S&amp;P 500'!$E181,'Converted GISC'!$A$1:$C$159,2,FALSE)</f>
        <v>Equity Real Estate Investment Trusts (REITs)</v>
      </c>
    </row>
    <row r="182" spans="1:9" x14ac:dyDescent="0.25">
      <c r="A182" s="25" t="s">
        <v>652</v>
      </c>
      <c r="B182" s="25" t="s">
        <v>653</v>
      </c>
      <c r="C182" s="25" t="s">
        <v>106</v>
      </c>
      <c r="D182" s="25" t="s">
        <v>80</v>
      </c>
      <c r="E182" s="25" t="s">
        <v>274</v>
      </c>
      <c r="F182" s="25" t="s">
        <v>654</v>
      </c>
      <c r="G182" s="26">
        <v>41731</v>
      </c>
      <c r="H182" s="27">
        <v>920522</v>
      </c>
      <c r="I182" s="25" t="str">
        <f>VLOOKUP('S&amp;P 500'!$E182,'Converted GISC'!$A$1:$C$159,2,FALSE)</f>
        <v>Equity Real Estate Investment Trusts (REITs)</v>
      </c>
    </row>
    <row r="183" spans="1:9" x14ac:dyDescent="0.25">
      <c r="A183" s="28" t="s">
        <v>655</v>
      </c>
      <c r="B183" s="28" t="s">
        <v>656</v>
      </c>
      <c r="C183" s="28" t="s">
        <v>106</v>
      </c>
      <c r="D183" s="28" t="s">
        <v>73</v>
      </c>
      <c r="E183" s="28" t="s">
        <v>32</v>
      </c>
      <c r="F183" s="28" t="s">
        <v>218</v>
      </c>
      <c r="G183" s="29">
        <v>38722</v>
      </c>
      <c r="H183" s="30">
        <v>1001250</v>
      </c>
      <c r="I183" s="28" t="str">
        <f>VLOOKUP('S&amp;P 500'!$E183,'Converted GISC'!$A$1:$C$159,2,FALSE)</f>
        <v>Personal Products</v>
      </c>
    </row>
    <row r="184" spans="1:9" x14ac:dyDescent="0.25">
      <c r="A184" s="25" t="s">
        <v>657</v>
      </c>
      <c r="B184" s="25" t="s">
        <v>658</v>
      </c>
      <c r="C184" s="25" t="s">
        <v>106</v>
      </c>
      <c r="D184" s="25" t="s">
        <v>82</v>
      </c>
      <c r="E184" s="25" t="s">
        <v>14</v>
      </c>
      <c r="F184" s="25" t="s">
        <v>659</v>
      </c>
      <c r="G184" s="26"/>
      <c r="H184" s="27">
        <v>72741</v>
      </c>
      <c r="I184" s="25" t="str">
        <f>VLOOKUP('S&amp;P 500'!$E184,'Converted GISC'!$A$1:$C$159,2,FALSE)</f>
        <v>Multi-Utilities</v>
      </c>
    </row>
    <row r="185" spans="1:9" x14ac:dyDescent="0.25">
      <c r="A185" s="28" t="s">
        <v>660</v>
      </c>
      <c r="B185" s="28" t="s">
        <v>661</v>
      </c>
      <c r="C185" s="28" t="s">
        <v>106</v>
      </c>
      <c r="D185" s="28" t="s">
        <v>75</v>
      </c>
      <c r="E185" s="28" t="s">
        <v>662</v>
      </c>
      <c r="F185" s="28" t="s">
        <v>663</v>
      </c>
      <c r="G185" s="29">
        <v>42905</v>
      </c>
      <c r="H185" s="30">
        <v>1095073</v>
      </c>
      <c r="I185" s="28" t="str">
        <f>VLOOKUP('S&amp;P 500'!$E185,'Converted GISC'!$A$1:$C$159,2,FALSE)</f>
        <v>Insurance</v>
      </c>
    </row>
    <row r="186" spans="1:9" x14ac:dyDescent="0.25">
      <c r="A186" s="25" t="s">
        <v>664</v>
      </c>
      <c r="B186" s="25" t="s">
        <v>665</v>
      </c>
      <c r="C186" s="25" t="s">
        <v>106</v>
      </c>
      <c r="D186" s="25" t="s">
        <v>82</v>
      </c>
      <c r="E186" s="25" t="s">
        <v>14</v>
      </c>
      <c r="F186" s="25" t="s">
        <v>359</v>
      </c>
      <c r="G186" s="26"/>
      <c r="H186" s="27">
        <v>1109357</v>
      </c>
      <c r="I186" s="25" t="str">
        <f>VLOOKUP('S&amp;P 500'!$E186,'Converted GISC'!$A$1:$C$159,2,FALSE)</f>
        <v>Multi-Utilities</v>
      </c>
    </row>
    <row r="187" spans="1:9" x14ac:dyDescent="0.25">
      <c r="A187" s="28" t="s">
        <v>666</v>
      </c>
      <c r="B187" s="28" t="s">
        <v>667</v>
      </c>
      <c r="C187" s="28" t="s">
        <v>106</v>
      </c>
      <c r="D187" s="28" t="s">
        <v>72</v>
      </c>
      <c r="E187" s="28" t="s">
        <v>206</v>
      </c>
      <c r="F187" s="28" t="s">
        <v>668</v>
      </c>
      <c r="G187" s="29">
        <v>39357</v>
      </c>
      <c r="H187" s="30">
        <v>1324424</v>
      </c>
      <c r="I187" s="28" t="str">
        <f>VLOOKUP('S&amp;P 500'!$E187,'Converted GISC'!$A$1:$C$159,2,FALSE)</f>
        <v>Internet &amp; Direct Marketing Retail</v>
      </c>
    </row>
    <row r="188" spans="1:9" x14ac:dyDescent="0.25">
      <c r="A188" s="25" t="s">
        <v>669</v>
      </c>
      <c r="B188" s="25" t="s">
        <v>670</v>
      </c>
      <c r="C188" s="25" t="s">
        <v>106</v>
      </c>
      <c r="D188" s="25" t="s">
        <v>77</v>
      </c>
      <c r="E188" s="25" t="s">
        <v>43</v>
      </c>
      <c r="F188" s="25" t="s">
        <v>166</v>
      </c>
      <c r="G188" s="26">
        <v>39365</v>
      </c>
      <c r="H188" s="27">
        <v>746515</v>
      </c>
      <c r="I188" s="25" t="str">
        <f>VLOOKUP('S&amp;P 500'!$E188,'Converted GISC'!$A$1:$C$159,2,FALSE)</f>
        <v>Air Freight &amp; Logistics</v>
      </c>
    </row>
    <row r="189" spans="1:9" x14ac:dyDescent="0.25">
      <c r="A189" s="28" t="s">
        <v>671</v>
      </c>
      <c r="B189" s="28" t="s">
        <v>672</v>
      </c>
      <c r="C189" s="28" t="s">
        <v>106</v>
      </c>
      <c r="D189" s="28" t="s">
        <v>76</v>
      </c>
      <c r="E189" s="28" t="s">
        <v>233</v>
      </c>
      <c r="F189" s="28" t="s">
        <v>673</v>
      </c>
      <c r="G189" s="29">
        <v>37889</v>
      </c>
      <c r="H189" s="30">
        <v>1532063</v>
      </c>
      <c r="I189" s="28" t="str">
        <f>VLOOKUP('S&amp;P 500'!$E189,'Converted GISC'!$A$1:$C$159,2,FALSE)</f>
        <v>Health Care Providers &amp; Services</v>
      </c>
    </row>
    <row r="190" spans="1:9" x14ac:dyDescent="0.25">
      <c r="A190" s="25" t="s">
        <v>674</v>
      </c>
      <c r="B190" s="25" t="s">
        <v>675</v>
      </c>
      <c r="C190" s="25" t="s">
        <v>106</v>
      </c>
      <c r="D190" s="25" t="s">
        <v>80</v>
      </c>
      <c r="E190" s="25" t="s">
        <v>223</v>
      </c>
      <c r="F190" s="25" t="s">
        <v>676</v>
      </c>
      <c r="G190" s="26">
        <v>42388</v>
      </c>
      <c r="H190" s="27">
        <v>1289490</v>
      </c>
      <c r="I190" s="25" t="str">
        <f>VLOOKUP('S&amp;P 500'!$E190,'Converted GISC'!$A$1:$C$159,2,FALSE)</f>
        <v>Equity Real Estate Investment Trusts (REITs)</v>
      </c>
    </row>
    <row r="191" spans="1:9" x14ac:dyDescent="0.25">
      <c r="A191" s="28" t="s">
        <v>677</v>
      </c>
      <c r="B191" s="28" t="s">
        <v>678</v>
      </c>
      <c r="C191" s="28" t="s">
        <v>106</v>
      </c>
      <c r="D191" s="28" t="s">
        <v>74</v>
      </c>
      <c r="E191" s="28" t="s">
        <v>452</v>
      </c>
      <c r="F191" s="28" t="s">
        <v>679</v>
      </c>
      <c r="G191" s="29"/>
      <c r="H191" s="30">
        <v>34088</v>
      </c>
      <c r="I191" s="28" t="str">
        <f>VLOOKUP('S&amp;P 500'!$E191,'Converted GISC'!$A$1:$C$159,2,FALSE)</f>
        <v>Oil, Gas &amp; Consumable Fuels</v>
      </c>
    </row>
    <row r="192" spans="1:9" x14ac:dyDescent="0.25">
      <c r="A192" s="25" t="s">
        <v>680</v>
      </c>
      <c r="B192" s="25" t="s">
        <v>681</v>
      </c>
      <c r="C192" s="25" t="s">
        <v>106</v>
      </c>
      <c r="D192" s="25" t="s">
        <v>78</v>
      </c>
      <c r="E192" s="25" t="s">
        <v>56</v>
      </c>
      <c r="F192" s="25" t="s">
        <v>166</v>
      </c>
      <c r="G192" s="26">
        <v>40532</v>
      </c>
      <c r="H192" s="27">
        <v>1048695</v>
      </c>
      <c r="I192" s="25" t="str">
        <f>VLOOKUP('S&amp;P 500'!$E192,'Converted GISC'!$A$1:$C$159,2,FALSE)</f>
        <v>Communications Equipment</v>
      </c>
    </row>
    <row r="193" spans="1:9" x14ac:dyDescent="0.25">
      <c r="A193" s="28" t="s">
        <v>682</v>
      </c>
      <c r="B193" s="28" t="s">
        <v>683</v>
      </c>
      <c r="C193" s="28" t="s">
        <v>106</v>
      </c>
      <c r="D193" s="28" t="s">
        <v>78</v>
      </c>
      <c r="E193" s="28" t="s">
        <v>59</v>
      </c>
      <c r="F193" s="28" t="s">
        <v>684</v>
      </c>
      <c r="G193" s="29">
        <v>41631</v>
      </c>
      <c r="H193" s="30">
        <v>1326801</v>
      </c>
      <c r="I193" s="28" t="str">
        <f>VLOOKUP('S&amp;P 500'!$E193,'Converted GISC'!$A$1:$C$159,2,FALSE)</f>
        <v>Internet Software &amp; Services</v>
      </c>
    </row>
    <row r="194" spans="1:9" x14ac:dyDescent="0.25">
      <c r="A194" s="25" t="s">
        <v>685</v>
      </c>
      <c r="B194" s="25" t="s">
        <v>686</v>
      </c>
      <c r="C194" s="25" t="s">
        <v>106</v>
      </c>
      <c r="D194" s="25" t="s">
        <v>77</v>
      </c>
      <c r="E194" s="25" t="s">
        <v>45</v>
      </c>
      <c r="F194" s="25" t="s">
        <v>687</v>
      </c>
      <c r="G194" s="26">
        <v>40071</v>
      </c>
      <c r="H194" s="27">
        <v>815556</v>
      </c>
      <c r="I194" s="25" t="str">
        <f>VLOOKUP('S&amp;P 500'!$E194,'Converted GISC'!$A$1:$C$159,2,FALSE)</f>
        <v>Building Products</v>
      </c>
    </row>
    <row r="195" spans="1:9" x14ac:dyDescent="0.25">
      <c r="A195" s="28" t="s">
        <v>688</v>
      </c>
      <c r="B195" s="28" t="s">
        <v>689</v>
      </c>
      <c r="C195" s="28" t="s">
        <v>106</v>
      </c>
      <c r="D195" s="28" t="s">
        <v>80</v>
      </c>
      <c r="E195" s="28" t="s">
        <v>690</v>
      </c>
      <c r="F195" s="28" t="s">
        <v>691</v>
      </c>
      <c r="G195" s="29">
        <v>42401</v>
      </c>
      <c r="H195" s="30">
        <v>34903</v>
      </c>
      <c r="I195" s="28" t="str">
        <f>VLOOKUP('S&amp;P 500'!$E195,'Converted GISC'!$A$1:$C$159,2,FALSE)</f>
        <v>Equity Real Estate Investment Trusts (REITs)</v>
      </c>
    </row>
    <row r="196" spans="1:9" x14ac:dyDescent="0.25">
      <c r="A196" s="25" t="s">
        <v>692</v>
      </c>
      <c r="B196" s="25" t="s">
        <v>693</v>
      </c>
      <c r="C196" s="25" t="s">
        <v>106</v>
      </c>
      <c r="D196" s="25" t="s">
        <v>77</v>
      </c>
      <c r="E196" s="25" t="s">
        <v>43</v>
      </c>
      <c r="F196" s="25" t="s">
        <v>311</v>
      </c>
      <c r="G196" s="26">
        <v>29586</v>
      </c>
      <c r="H196" s="27">
        <v>1048911</v>
      </c>
      <c r="I196" s="25" t="str">
        <f>VLOOKUP('S&amp;P 500'!$E196,'Converted GISC'!$A$1:$C$159,2,FALSE)</f>
        <v>Air Freight &amp; Logistics</v>
      </c>
    </row>
    <row r="197" spans="1:9" x14ac:dyDescent="0.25">
      <c r="A197" s="28" t="s">
        <v>694</v>
      </c>
      <c r="B197" s="28" t="s">
        <v>695</v>
      </c>
      <c r="C197" s="28" t="s">
        <v>106</v>
      </c>
      <c r="D197" s="28" t="s">
        <v>78</v>
      </c>
      <c r="E197" s="28" t="s">
        <v>59</v>
      </c>
      <c r="F197" s="28" t="s">
        <v>537</v>
      </c>
      <c r="G197" s="29">
        <v>39031</v>
      </c>
      <c r="H197" s="30">
        <v>1136893</v>
      </c>
      <c r="I197" s="28" t="str">
        <f>VLOOKUP('S&amp;P 500'!$E197,'Converted GISC'!$A$1:$C$159,2,FALSE)</f>
        <v>Internet Software &amp; Services</v>
      </c>
    </row>
    <row r="198" spans="1:9" x14ac:dyDescent="0.25">
      <c r="A198" s="25" t="s">
        <v>696</v>
      </c>
      <c r="B198" s="25" t="s">
        <v>697</v>
      </c>
      <c r="C198" s="25" t="s">
        <v>106</v>
      </c>
      <c r="D198" s="25" t="s">
        <v>75</v>
      </c>
      <c r="E198" s="25" t="s">
        <v>336</v>
      </c>
      <c r="F198" s="25" t="s">
        <v>698</v>
      </c>
      <c r="G198" s="26"/>
      <c r="H198" s="27">
        <v>35527</v>
      </c>
      <c r="I198" s="25" t="str">
        <f>VLOOKUP('S&amp;P 500'!$E198,'Converted GISC'!$A$1:$C$159,2,FALSE)</f>
        <v>Banks</v>
      </c>
    </row>
    <row r="199" spans="1:9" x14ac:dyDescent="0.25">
      <c r="A199" s="28" t="s">
        <v>699</v>
      </c>
      <c r="B199" s="28" t="s">
        <v>700</v>
      </c>
      <c r="C199" s="28" t="s">
        <v>106</v>
      </c>
      <c r="D199" s="28" t="s">
        <v>82</v>
      </c>
      <c r="E199" s="28" t="s">
        <v>11</v>
      </c>
      <c r="F199" s="28" t="s">
        <v>701</v>
      </c>
      <c r="G199" s="29"/>
      <c r="H199" s="30">
        <v>1031296</v>
      </c>
      <c r="I199" s="28" t="str">
        <f>VLOOKUP('S&amp;P 500'!$E199,'Converted GISC'!$A$1:$C$159,2,FALSE)</f>
        <v>Electric Utilities</v>
      </c>
    </row>
    <row r="200" spans="1:9" x14ac:dyDescent="0.25">
      <c r="A200" s="25" t="s">
        <v>702</v>
      </c>
      <c r="B200" s="25" t="s">
        <v>703</v>
      </c>
      <c r="C200" s="25" t="s">
        <v>106</v>
      </c>
      <c r="D200" s="25" t="s">
        <v>78</v>
      </c>
      <c r="E200" s="25" t="s">
        <v>59</v>
      </c>
      <c r="F200" s="25" t="s">
        <v>704</v>
      </c>
      <c r="G200" s="26">
        <v>36983</v>
      </c>
      <c r="H200" s="27">
        <v>798354</v>
      </c>
      <c r="I200" s="25" t="str">
        <f>VLOOKUP('S&amp;P 500'!$E200,'Converted GISC'!$A$1:$C$159,2,FALSE)</f>
        <v>Internet Software &amp; Services</v>
      </c>
    </row>
    <row r="201" spans="1:9" x14ac:dyDescent="0.25">
      <c r="A201" s="28" t="s">
        <v>705</v>
      </c>
      <c r="B201" s="28" t="s">
        <v>706</v>
      </c>
      <c r="C201" s="28" t="s">
        <v>106</v>
      </c>
      <c r="D201" s="28" t="s">
        <v>78</v>
      </c>
      <c r="E201" s="28" t="s">
        <v>707</v>
      </c>
      <c r="F201" s="28" t="s">
        <v>708</v>
      </c>
      <c r="G201" s="29">
        <v>39815</v>
      </c>
      <c r="H201" s="30">
        <v>354908</v>
      </c>
      <c r="I201" s="28" t="str">
        <f>VLOOKUP('S&amp;P 500'!$E201,'Converted GISC'!$A$1:$C$159,2,FALSE)</f>
        <v>Electronic Equipment, Instruments &amp; Components</v>
      </c>
    </row>
    <row r="202" spans="1:9" x14ac:dyDescent="0.25">
      <c r="A202" s="25" t="s">
        <v>709</v>
      </c>
      <c r="B202" s="25" t="s">
        <v>710</v>
      </c>
      <c r="C202" s="25" t="s">
        <v>106</v>
      </c>
      <c r="D202" s="25" t="s">
        <v>77</v>
      </c>
      <c r="E202" s="25" t="s">
        <v>540</v>
      </c>
      <c r="F202" s="25" t="s">
        <v>679</v>
      </c>
      <c r="G202" s="26">
        <v>39723</v>
      </c>
      <c r="H202" s="27">
        <v>30625</v>
      </c>
      <c r="I202" s="25" t="str">
        <f>VLOOKUP('S&amp;P 500'!$E202,'Converted GISC'!$A$1:$C$159,2,FALSE)</f>
        <v>Machinery</v>
      </c>
    </row>
    <row r="203" spans="1:9" x14ac:dyDescent="0.25">
      <c r="A203" s="28" t="s">
        <v>711</v>
      </c>
      <c r="B203" s="28" t="s">
        <v>712</v>
      </c>
      <c r="C203" s="28" t="s">
        <v>106</v>
      </c>
      <c r="D203" s="28" t="s">
        <v>77</v>
      </c>
      <c r="E203" s="28" t="s">
        <v>47</v>
      </c>
      <c r="F203" s="28" t="s">
        <v>679</v>
      </c>
      <c r="G203" s="29">
        <v>29311</v>
      </c>
      <c r="H203" s="30">
        <v>1124198</v>
      </c>
      <c r="I203" s="28" t="str">
        <f>VLOOKUP('S&amp;P 500'!$E203,'Converted GISC'!$A$1:$C$159,2,FALSE)</f>
        <v>Construction &amp; Engineering</v>
      </c>
    </row>
    <row r="204" spans="1:9" x14ac:dyDescent="0.25">
      <c r="A204" s="25" t="s">
        <v>713</v>
      </c>
      <c r="B204" s="25" t="s">
        <v>714</v>
      </c>
      <c r="C204" s="25" t="s">
        <v>106</v>
      </c>
      <c r="D204" s="25" t="s">
        <v>79</v>
      </c>
      <c r="E204" s="25" t="s">
        <v>438</v>
      </c>
      <c r="F204" s="25" t="s">
        <v>465</v>
      </c>
      <c r="G204" s="26">
        <v>40044</v>
      </c>
      <c r="H204" s="27">
        <v>37785</v>
      </c>
      <c r="I204" s="25" t="str">
        <f>VLOOKUP('S&amp;P 500'!$E204,'Converted GISC'!$A$1:$C$159,2,FALSE)</f>
        <v>Chemicals</v>
      </c>
    </row>
    <row r="205" spans="1:9" x14ac:dyDescent="0.25">
      <c r="A205" s="28" t="s">
        <v>715</v>
      </c>
      <c r="B205" s="28" t="s">
        <v>716</v>
      </c>
      <c r="C205" s="28" t="s">
        <v>106</v>
      </c>
      <c r="D205" s="28" t="s">
        <v>72</v>
      </c>
      <c r="E205" s="28" t="s">
        <v>717</v>
      </c>
      <c r="F205" s="28" t="s">
        <v>218</v>
      </c>
      <c r="G205" s="29">
        <v>42464</v>
      </c>
      <c r="H205" s="30">
        <v>850209</v>
      </c>
      <c r="I205" s="28" t="str">
        <f>VLOOKUP('S&amp;P 500'!$E205,'Converted GISC'!$A$1:$C$159,2,FALSE)</f>
        <v>Specialty Retail</v>
      </c>
    </row>
    <row r="206" spans="1:9" x14ac:dyDescent="0.25">
      <c r="A206" s="25" t="s">
        <v>718</v>
      </c>
      <c r="B206" s="25" t="s">
        <v>719</v>
      </c>
      <c r="C206" s="25" t="s">
        <v>106</v>
      </c>
      <c r="D206" s="25" t="s">
        <v>72</v>
      </c>
      <c r="E206" s="25" t="s">
        <v>720</v>
      </c>
      <c r="F206" s="25" t="s">
        <v>721</v>
      </c>
      <c r="G206" s="26"/>
      <c r="H206" s="27">
        <v>37996</v>
      </c>
      <c r="I206" s="25" t="str">
        <f>VLOOKUP('S&amp;P 500'!$E206,'Converted GISC'!$A$1:$C$159,2,FALSE)</f>
        <v>Automobiles</v>
      </c>
    </row>
    <row r="207" spans="1:9" x14ac:dyDescent="0.25">
      <c r="A207" s="28" t="s">
        <v>722</v>
      </c>
      <c r="B207" s="28" t="s">
        <v>723</v>
      </c>
      <c r="C207" s="28" t="s">
        <v>106</v>
      </c>
      <c r="D207" s="28" t="s">
        <v>77</v>
      </c>
      <c r="E207" s="28" t="s">
        <v>540</v>
      </c>
      <c r="F207" s="28" t="s">
        <v>724</v>
      </c>
      <c r="G207" s="29">
        <v>42552</v>
      </c>
      <c r="H207" s="30">
        <v>1659166</v>
      </c>
      <c r="I207" s="28" t="str">
        <f>VLOOKUP('S&amp;P 500'!$E207,'Converted GISC'!$A$1:$C$159,2,FALSE)</f>
        <v>Machinery</v>
      </c>
    </row>
    <row r="208" spans="1:9" x14ac:dyDescent="0.25">
      <c r="A208" s="25" t="s">
        <v>725</v>
      </c>
      <c r="B208" s="25" t="s">
        <v>726</v>
      </c>
      <c r="C208" s="25" t="s">
        <v>106</v>
      </c>
      <c r="D208" s="25" t="s">
        <v>77</v>
      </c>
      <c r="E208" s="25" t="s">
        <v>45</v>
      </c>
      <c r="F208" s="25" t="s">
        <v>333</v>
      </c>
      <c r="G208" s="26">
        <v>42543</v>
      </c>
      <c r="H208" s="27">
        <v>1519751</v>
      </c>
      <c r="I208" s="25" t="str">
        <f>VLOOKUP('S&amp;P 500'!$E208,'Converted GISC'!$A$1:$C$159,2,FALSE)</f>
        <v>Building Products</v>
      </c>
    </row>
    <row r="209" spans="1:9" x14ac:dyDescent="0.25">
      <c r="A209" s="28" t="s">
        <v>727</v>
      </c>
      <c r="B209" s="28" t="s">
        <v>728</v>
      </c>
      <c r="C209" s="28" t="s">
        <v>106</v>
      </c>
      <c r="D209" s="28" t="s">
        <v>75</v>
      </c>
      <c r="E209" s="28" t="s">
        <v>148</v>
      </c>
      <c r="F209" s="28" t="s">
        <v>729</v>
      </c>
      <c r="G209" s="29"/>
      <c r="H209" s="30">
        <v>38777</v>
      </c>
      <c r="I209" s="28" t="str">
        <f>VLOOKUP('S&amp;P 500'!$E209,'Converted GISC'!$A$1:$C$159,2,FALSE)</f>
        <v>Capital Markets</v>
      </c>
    </row>
    <row r="210" spans="1:9" x14ac:dyDescent="0.25">
      <c r="A210" s="25" t="s">
        <v>730</v>
      </c>
      <c r="B210" s="25" t="s">
        <v>731</v>
      </c>
      <c r="C210" s="25" t="s">
        <v>106</v>
      </c>
      <c r="D210" s="25" t="s">
        <v>79</v>
      </c>
      <c r="E210" s="25" t="s">
        <v>732</v>
      </c>
      <c r="F210" s="25" t="s">
        <v>733</v>
      </c>
      <c r="G210" s="26"/>
      <c r="H210" s="27">
        <v>831259</v>
      </c>
      <c r="I210" s="25" t="str">
        <f>VLOOKUP('S&amp;P 500'!$E210,'Converted GISC'!$A$1:$C$159,2,FALSE)</f>
        <v>Metals &amp; Mining</v>
      </c>
    </row>
    <row r="211" spans="1:9" x14ac:dyDescent="0.25">
      <c r="A211" s="28" t="s">
        <v>734</v>
      </c>
      <c r="B211" s="28" t="s">
        <v>735</v>
      </c>
      <c r="C211" s="28" t="s">
        <v>106</v>
      </c>
      <c r="D211" s="28" t="s">
        <v>72</v>
      </c>
      <c r="E211" s="28" t="s">
        <v>717</v>
      </c>
      <c r="F211" s="28" t="s">
        <v>442</v>
      </c>
      <c r="G211" s="29">
        <v>31655</v>
      </c>
      <c r="H211" s="30">
        <v>39911</v>
      </c>
      <c r="I211" s="28" t="str">
        <f>VLOOKUP('S&amp;P 500'!$E211,'Converted GISC'!$A$1:$C$159,2,FALSE)</f>
        <v>Specialty Retail</v>
      </c>
    </row>
    <row r="212" spans="1:9" x14ac:dyDescent="0.25">
      <c r="A212" s="25" t="s">
        <v>736</v>
      </c>
      <c r="B212" s="25" t="s">
        <v>737</v>
      </c>
      <c r="C212" s="25" t="s">
        <v>106</v>
      </c>
      <c r="D212" s="25" t="s">
        <v>72</v>
      </c>
      <c r="E212" s="25" t="s">
        <v>738</v>
      </c>
      <c r="F212" s="25" t="s">
        <v>739</v>
      </c>
      <c r="G212" s="26">
        <v>41255</v>
      </c>
      <c r="H212" s="27">
        <v>1121788</v>
      </c>
      <c r="I212" s="25" t="str">
        <f>VLOOKUP('S&amp;P 500'!$E212,'Converted GISC'!$A$1:$C$159,2,FALSE)</f>
        <v>Household Durables</v>
      </c>
    </row>
    <row r="213" spans="1:9" x14ac:dyDescent="0.25">
      <c r="A213" s="28" t="s">
        <v>740</v>
      </c>
      <c r="B213" s="28" t="s">
        <v>741</v>
      </c>
      <c r="C213" s="28" t="s">
        <v>106</v>
      </c>
      <c r="D213" s="28" t="s">
        <v>78</v>
      </c>
      <c r="E213" s="28" t="s">
        <v>116</v>
      </c>
      <c r="F213" s="28" t="s">
        <v>446</v>
      </c>
      <c r="G213" s="29">
        <v>42830</v>
      </c>
      <c r="H213" s="30">
        <v>749251</v>
      </c>
      <c r="I213" s="28" t="str">
        <f>VLOOKUP('S&amp;P 500'!$E213,'Converted GISC'!$A$1:$C$159,2,FALSE)</f>
        <v>IT Services</v>
      </c>
    </row>
    <row r="214" spans="1:9" x14ac:dyDescent="0.25">
      <c r="A214" s="25" t="s">
        <v>742</v>
      </c>
      <c r="B214" s="25" t="s">
        <v>743</v>
      </c>
      <c r="C214" s="25" t="s">
        <v>106</v>
      </c>
      <c r="D214" s="25" t="s">
        <v>77</v>
      </c>
      <c r="E214" s="25" t="s">
        <v>42</v>
      </c>
      <c r="F214" s="25" t="s">
        <v>533</v>
      </c>
      <c r="G214" s="26"/>
      <c r="H214" s="27">
        <v>40533</v>
      </c>
      <c r="I214" s="25" t="str">
        <f>VLOOKUP('S&amp;P 500'!$E214,'Converted GISC'!$A$1:$C$159,2,FALSE)</f>
        <v>Aerospace &amp; Defense</v>
      </c>
    </row>
    <row r="215" spans="1:9" x14ac:dyDescent="0.25">
      <c r="A215" s="28" t="s">
        <v>744</v>
      </c>
      <c r="B215" s="28" t="s">
        <v>745</v>
      </c>
      <c r="C215" s="28" t="s">
        <v>106</v>
      </c>
      <c r="D215" s="28" t="s">
        <v>77</v>
      </c>
      <c r="E215" s="28" t="s">
        <v>49</v>
      </c>
      <c r="F215" s="28" t="s">
        <v>224</v>
      </c>
      <c r="G215" s="29"/>
      <c r="H215" s="30">
        <v>40545</v>
      </c>
      <c r="I215" s="28" t="str">
        <f>VLOOKUP('S&amp;P 500'!$E215,'Converted GISC'!$A$1:$C$159,2,FALSE)</f>
        <v>Industrial Conglomerates</v>
      </c>
    </row>
    <row r="216" spans="1:9" x14ac:dyDescent="0.25">
      <c r="A216" s="25" t="s">
        <v>746</v>
      </c>
      <c r="B216" s="25" t="s">
        <v>747</v>
      </c>
      <c r="C216" s="25" t="s">
        <v>106</v>
      </c>
      <c r="D216" s="25" t="s">
        <v>80</v>
      </c>
      <c r="E216" s="25" t="s">
        <v>690</v>
      </c>
      <c r="F216" s="25" t="s">
        <v>359</v>
      </c>
      <c r="G216" s="26">
        <v>41618</v>
      </c>
      <c r="H216" s="27">
        <v>1496048</v>
      </c>
      <c r="I216" s="25" t="str">
        <f>VLOOKUP('S&amp;P 500'!$E216,'Converted GISC'!$A$1:$C$159,2,FALSE)</f>
        <v>Equity Real Estate Investment Trusts (REITs)</v>
      </c>
    </row>
    <row r="217" spans="1:9" x14ac:dyDescent="0.25">
      <c r="A217" s="28" t="s">
        <v>748</v>
      </c>
      <c r="B217" s="28" t="s">
        <v>749</v>
      </c>
      <c r="C217" s="28" t="s">
        <v>106</v>
      </c>
      <c r="D217" s="28" t="s">
        <v>73</v>
      </c>
      <c r="E217" s="28" t="s">
        <v>394</v>
      </c>
      <c r="F217" s="28" t="s">
        <v>750</v>
      </c>
      <c r="G217" s="29">
        <v>25293</v>
      </c>
      <c r="H217" s="30">
        <v>40704</v>
      </c>
      <c r="I217" s="28" t="str">
        <f>VLOOKUP('S&amp;P 500'!$E217,'Converted GISC'!$A$1:$C$159,2,FALSE)</f>
        <v>Food Products</v>
      </c>
    </row>
    <row r="218" spans="1:9" x14ac:dyDescent="0.25">
      <c r="A218" s="25" t="s">
        <v>751</v>
      </c>
      <c r="B218" s="25" t="s">
        <v>752</v>
      </c>
      <c r="C218" s="25" t="s">
        <v>106</v>
      </c>
      <c r="D218" s="25" t="s">
        <v>72</v>
      </c>
      <c r="E218" s="25" t="s">
        <v>720</v>
      </c>
      <c r="F218" s="25" t="s">
        <v>602</v>
      </c>
      <c r="G218" s="26">
        <v>41431</v>
      </c>
      <c r="H218" s="27">
        <v>1467858</v>
      </c>
      <c r="I218" s="25" t="str">
        <f>VLOOKUP('S&amp;P 500'!$E218,'Converted GISC'!$A$1:$C$159,2,FALSE)</f>
        <v>Automobiles</v>
      </c>
    </row>
    <row r="219" spans="1:9" x14ac:dyDescent="0.25">
      <c r="A219" s="28" t="s">
        <v>753</v>
      </c>
      <c r="B219" s="28" t="s">
        <v>754</v>
      </c>
      <c r="C219" s="28" t="s">
        <v>106</v>
      </c>
      <c r="D219" s="28" t="s">
        <v>72</v>
      </c>
      <c r="E219" s="28" t="s">
        <v>310</v>
      </c>
      <c r="F219" s="28" t="s">
        <v>125</v>
      </c>
      <c r="G219" s="29">
        <v>27029</v>
      </c>
      <c r="H219" s="30">
        <v>40987</v>
      </c>
      <c r="I219" s="28" t="str">
        <f>VLOOKUP('S&amp;P 500'!$E219,'Converted GISC'!$A$1:$C$159,2,FALSE)</f>
        <v>Specialty Retail</v>
      </c>
    </row>
    <row r="220" spans="1:9" x14ac:dyDescent="0.25">
      <c r="A220" s="25" t="s">
        <v>755</v>
      </c>
      <c r="B220" s="25" t="s">
        <v>756</v>
      </c>
      <c r="C220" s="25" t="s">
        <v>106</v>
      </c>
      <c r="D220" s="25" t="s">
        <v>76</v>
      </c>
      <c r="E220" s="25" t="s">
        <v>36</v>
      </c>
      <c r="F220" s="25" t="s">
        <v>757</v>
      </c>
      <c r="G220" s="26">
        <v>38169</v>
      </c>
      <c r="H220" s="27">
        <v>882095</v>
      </c>
      <c r="I220" s="25" t="str">
        <f>VLOOKUP('S&amp;P 500'!$E220,'Converted GISC'!$A$1:$C$159,2,FALSE)</f>
        <v>Biotechnology</v>
      </c>
    </row>
    <row r="221" spans="1:9" x14ac:dyDescent="0.25">
      <c r="A221" s="28" t="s">
        <v>758</v>
      </c>
      <c r="B221" s="28" t="s">
        <v>759</v>
      </c>
      <c r="C221" s="28" t="s">
        <v>106</v>
      </c>
      <c r="D221" s="28" t="s">
        <v>78</v>
      </c>
      <c r="E221" s="28" t="s">
        <v>187</v>
      </c>
      <c r="F221" s="28" t="s">
        <v>125</v>
      </c>
      <c r="G221" s="29">
        <v>42485</v>
      </c>
      <c r="H221" s="30">
        <v>1123360</v>
      </c>
      <c r="I221" s="28" t="str">
        <f>VLOOKUP('S&amp;P 500'!$E221,'Converted GISC'!$A$1:$C$159,2,FALSE)</f>
        <v>IT Services</v>
      </c>
    </row>
    <row r="222" spans="1:9" x14ac:dyDescent="0.25">
      <c r="A222" s="25" t="s">
        <v>760</v>
      </c>
      <c r="B222" s="25" t="s">
        <v>761</v>
      </c>
      <c r="C222" s="25" t="s">
        <v>106</v>
      </c>
      <c r="D222" s="25" t="s">
        <v>75</v>
      </c>
      <c r="E222" s="25" t="s">
        <v>441</v>
      </c>
      <c r="F222" s="25" t="s">
        <v>218</v>
      </c>
      <c r="G222" s="26">
        <v>37459</v>
      </c>
      <c r="H222" s="27">
        <v>886982</v>
      </c>
      <c r="I222" s="25" t="str">
        <f>VLOOKUP('S&amp;P 500'!$E222,'Converted GISC'!$A$1:$C$159,2,FALSE)</f>
        <v>Capital Markets</v>
      </c>
    </row>
    <row r="223" spans="1:9" x14ac:dyDescent="0.25">
      <c r="A223" s="28" t="s">
        <v>762</v>
      </c>
      <c r="B223" s="28" t="s">
        <v>763</v>
      </c>
      <c r="C223" s="28" t="s">
        <v>106</v>
      </c>
      <c r="D223" s="28" t="s">
        <v>72</v>
      </c>
      <c r="E223" s="28" t="s">
        <v>764</v>
      </c>
      <c r="F223" s="28" t="s">
        <v>701</v>
      </c>
      <c r="G223" s="29"/>
      <c r="H223" s="30">
        <v>42582</v>
      </c>
      <c r="I223" s="28" t="str">
        <f>VLOOKUP('S&amp;P 500'!$E223,'Converted GISC'!$A$1:$C$159,2,FALSE)</f>
        <v>Auto Components</v>
      </c>
    </row>
    <row r="224" spans="1:9" x14ac:dyDescent="0.25">
      <c r="A224" s="25" t="s">
        <v>765</v>
      </c>
      <c r="B224" s="25" t="s">
        <v>766</v>
      </c>
      <c r="C224" s="25" t="s">
        <v>106</v>
      </c>
      <c r="D224" s="25" t="s">
        <v>77</v>
      </c>
      <c r="E224" s="25" t="s">
        <v>540</v>
      </c>
      <c r="F224" s="25" t="s">
        <v>767</v>
      </c>
      <c r="G224" s="26">
        <v>29767</v>
      </c>
      <c r="H224" s="27">
        <v>277135</v>
      </c>
      <c r="I224" s="25" t="str">
        <f>VLOOKUP('S&amp;P 500'!$E224,'Converted GISC'!$A$1:$C$159,2,FALSE)</f>
        <v>Machinery</v>
      </c>
    </row>
    <row r="225" spans="1:9" x14ac:dyDescent="0.25">
      <c r="A225" s="28" t="s">
        <v>768</v>
      </c>
      <c r="B225" s="28" t="s">
        <v>769</v>
      </c>
      <c r="C225" s="28" t="s">
        <v>106</v>
      </c>
      <c r="D225" s="28" t="s">
        <v>74</v>
      </c>
      <c r="E225" s="28" t="s">
        <v>320</v>
      </c>
      <c r="F225" s="28" t="s">
        <v>271</v>
      </c>
      <c r="G225" s="29"/>
      <c r="H225" s="30">
        <v>45012</v>
      </c>
      <c r="I225" s="28" t="str">
        <f>VLOOKUP('S&amp;P 500'!$E225,'Converted GISC'!$A$1:$C$159,2,FALSE)</f>
        <v>Energy Equipment &amp; Services</v>
      </c>
    </row>
    <row r="226" spans="1:9" x14ac:dyDescent="0.25">
      <c r="A226" s="25" t="s">
        <v>770</v>
      </c>
      <c r="B226" s="25" t="s">
        <v>771</v>
      </c>
      <c r="C226" s="25" t="s">
        <v>106</v>
      </c>
      <c r="D226" s="25" t="s">
        <v>72</v>
      </c>
      <c r="E226" s="25" t="s">
        <v>772</v>
      </c>
      <c r="F226" s="25" t="s">
        <v>337</v>
      </c>
      <c r="G226" s="26">
        <v>42083</v>
      </c>
      <c r="H226" s="27">
        <v>1359841</v>
      </c>
      <c r="I226" s="25" t="str">
        <f>VLOOKUP('S&amp;P 500'!$E226,'Converted GISC'!$A$1:$C$159,2,FALSE)</f>
        <v>Textiles, Apparel &amp; Luxury Goods</v>
      </c>
    </row>
    <row r="227" spans="1:9" x14ac:dyDescent="0.25">
      <c r="A227" s="28" t="s">
        <v>773</v>
      </c>
      <c r="B227" s="28" t="s">
        <v>774</v>
      </c>
      <c r="C227" s="28" t="s">
        <v>106</v>
      </c>
      <c r="D227" s="28" t="s">
        <v>72</v>
      </c>
      <c r="E227" s="28" t="s">
        <v>775</v>
      </c>
      <c r="F227" s="28" t="s">
        <v>268</v>
      </c>
      <c r="G227" s="29"/>
      <c r="H227" s="30">
        <v>793952</v>
      </c>
      <c r="I227" s="28" t="str">
        <f>VLOOKUP('S&amp;P 500'!$E227,'Converted GISC'!$A$1:$C$159,2,FALSE)</f>
        <v>Automobiles</v>
      </c>
    </row>
    <row r="228" spans="1:9" x14ac:dyDescent="0.25">
      <c r="A228" s="25" t="s">
        <v>776</v>
      </c>
      <c r="B228" s="25" t="s">
        <v>777</v>
      </c>
      <c r="C228" s="25" t="s">
        <v>106</v>
      </c>
      <c r="D228" s="25" t="s">
        <v>78</v>
      </c>
      <c r="E228" s="25" t="s">
        <v>56</v>
      </c>
      <c r="F228" s="25" t="s">
        <v>778</v>
      </c>
      <c r="G228" s="26">
        <v>39713</v>
      </c>
      <c r="H228" s="27">
        <v>202058</v>
      </c>
      <c r="I228" s="25" t="str">
        <f>VLOOKUP('S&amp;P 500'!$E228,'Converted GISC'!$A$1:$C$159,2,FALSE)</f>
        <v>Communications Equipment</v>
      </c>
    </row>
    <row r="229" spans="1:9" x14ac:dyDescent="0.25">
      <c r="A229" s="28" t="s">
        <v>779</v>
      </c>
      <c r="B229" s="28" t="s">
        <v>780</v>
      </c>
      <c r="C229" s="28" t="s">
        <v>106</v>
      </c>
      <c r="D229" s="28" t="s">
        <v>75</v>
      </c>
      <c r="E229" s="28" t="s">
        <v>194</v>
      </c>
      <c r="F229" s="28" t="s">
        <v>145</v>
      </c>
      <c r="G229" s="29"/>
      <c r="H229" s="30">
        <v>874766</v>
      </c>
      <c r="I229" s="28" t="str">
        <f>VLOOKUP('S&amp;P 500'!$E229,'Converted GISC'!$A$1:$C$159,2,FALSE)</f>
        <v>Insurance</v>
      </c>
    </row>
    <row r="230" spans="1:9" x14ac:dyDescent="0.25">
      <c r="A230" s="25" t="s">
        <v>781</v>
      </c>
      <c r="B230" s="25" t="s">
        <v>782</v>
      </c>
      <c r="C230" s="25" t="s">
        <v>106</v>
      </c>
      <c r="D230" s="25" t="s">
        <v>72</v>
      </c>
      <c r="E230" s="25" t="s">
        <v>23</v>
      </c>
      <c r="F230" s="25" t="s">
        <v>783</v>
      </c>
      <c r="G230" s="26">
        <v>30955</v>
      </c>
      <c r="H230" s="27">
        <v>46080</v>
      </c>
      <c r="I230" s="25" t="str">
        <f>VLOOKUP('S&amp;P 500'!$E230,'Converted GISC'!$A$1:$C$159,2,FALSE)</f>
        <v>Leisure Products</v>
      </c>
    </row>
    <row r="231" spans="1:9" x14ac:dyDescent="0.25">
      <c r="A231" s="28" t="s">
        <v>784</v>
      </c>
      <c r="B231" s="28" t="s">
        <v>785</v>
      </c>
      <c r="C231" s="28" t="s">
        <v>106</v>
      </c>
      <c r="D231" s="28" t="s">
        <v>76</v>
      </c>
      <c r="E231" s="28" t="s">
        <v>557</v>
      </c>
      <c r="F231" s="28" t="s">
        <v>639</v>
      </c>
      <c r="G231" s="29">
        <v>42031</v>
      </c>
      <c r="H231" s="30">
        <v>860730</v>
      </c>
      <c r="I231" s="28" t="str">
        <f>VLOOKUP('S&amp;P 500'!$E231,'Converted GISC'!$A$1:$C$159,2,FALSE)</f>
        <v>Health Care Providers &amp; Services</v>
      </c>
    </row>
    <row r="232" spans="1:9" x14ac:dyDescent="0.25">
      <c r="A232" s="25" t="s">
        <v>786</v>
      </c>
      <c r="B232" s="25" t="s">
        <v>787</v>
      </c>
      <c r="C232" s="25" t="s">
        <v>106</v>
      </c>
      <c r="D232" s="25" t="s">
        <v>80</v>
      </c>
      <c r="E232" s="25" t="s">
        <v>788</v>
      </c>
      <c r="F232" s="25" t="s">
        <v>789</v>
      </c>
      <c r="G232" s="26">
        <v>39538</v>
      </c>
      <c r="H232" s="27">
        <v>765880</v>
      </c>
      <c r="I232" s="25" t="str">
        <f>VLOOKUP('S&amp;P 500'!$E232,'Converted GISC'!$A$1:$C$159,2,FALSE)</f>
        <v>Equity Real Estate Investment Trusts (REITs)</v>
      </c>
    </row>
    <row r="233" spans="1:9" x14ac:dyDescent="0.25">
      <c r="A233" s="28" t="s">
        <v>790</v>
      </c>
      <c r="B233" s="28" t="s">
        <v>791</v>
      </c>
      <c r="C233" s="28" t="s">
        <v>106</v>
      </c>
      <c r="D233" s="28" t="s">
        <v>74</v>
      </c>
      <c r="E233" s="28" t="s">
        <v>792</v>
      </c>
      <c r="F233" s="28" t="s">
        <v>793</v>
      </c>
      <c r="G233" s="29">
        <v>40238</v>
      </c>
      <c r="H233" s="30">
        <v>46765</v>
      </c>
      <c r="I233" s="28" t="str">
        <f>VLOOKUP('S&amp;P 500'!$E233,'Converted GISC'!$A$1:$C$159,2,FALSE)</f>
        <v>Energy Equipment &amp; Services</v>
      </c>
    </row>
    <row r="234" spans="1:9" x14ac:dyDescent="0.25">
      <c r="A234" s="25" t="s">
        <v>794</v>
      </c>
      <c r="B234" s="25" t="s">
        <v>795</v>
      </c>
      <c r="C234" s="25" t="s">
        <v>106</v>
      </c>
      <c r="D234" s="25" t="s">
        <v>76</v>
      </c>
      <c r="E234" s="25" t="s">
        <v>233</v>
      </c>
      <c r="F234" s="25" t="s">
        <v>796</v>
      </c>
      <c r="G234" s="26">
        <v>42080</v>
      </c>
      <c r="H234" s="27">
        <v>1000228</v>
      </c>
      <c r="I234" s="25" t="str">
        <f>VLOOKUP('S&amp;P 500'!$E234,'Converted GISC'!$A$1:$C$159,2,FALSE)</f>
        <v>Health Care Providers &amp; Services</v>
      </c>
    </row>
    <row r="235" spans="1:9" x14ac:dyDescent="0.25">
      <c r="A235" s="28" t="s">
        <v>797</v>
      </c>
      <c r="B235" s="28" t="s">
        <v>798</v>
      </c>
      <c r="C235" s="28" t="s">
        <v>106</v>
      </c>
      <c r="D235" s="28" t="s">
        <v>73</v>
      </c>
      <c r="E235" s="28" t="s">
        <v>394</v>
      </c>
      <c r="F235" s="28" t="s">
        <v>799</v>
      </c>
      <c r="G235" s="29"/>
      <c r="H235" s="30">
        <v>47111</v>
      </c>
      <c r="I235" s="28" t="str">
        <f>VLOOKUP('S&amp;P 500'!$E235,'Converted GISC'!$A$1:$C$159,2,FALSE)</f>
        <v>Food Products</v>
      </c>
    </row>
    <row r="236" spans="1:9" x14ac:dyDescent="0.25">
      <c r="A236" s="25" t="s">
        <v>800</v>
      </c>
      <c r="B236" s="25" t="s">
        <v>801</v>
      </c>
      <c r="C236" s="25" t="s">
        <v>106</v>
      </c>
      <c r="D236" s="25" t="s">
        <v>74</v>
      </c>
      <c r="E236" s="25" t="s">
        <v>452</v>
      </c>
      <c r="F236" s="25" t="s">
        <v>218</v>
      </c>
      <c r="G236" s="26">
        <v>30833</v>
      </c>
      <c r="H236" s="27">
        <v>4447</v>
      </c>
      <c r="I236" s="25" t="str">
        <f>VLOOKUP('S&amp;P 500'!$E236,'Converted GISC'!$A$1:$C$159,2,FALSE)</f>
        <v>Oil, Gas &amp; Consumable Fuels</v>
      </c>
    </row>
    <row r="237" spans="1:9" x14ac:dyDescent="0.25">
      <c r="A237" s="28" t="s">
        <v>802</v>
      </c>
      <c r="B237" s="28" t="s">
        <v>803</v>
      </c>
      <c r="C237" s="28" t="s">
        <v>106</v>
      </c>
      <c r="D237" s="28" t="s">
        <v>78</v>
      </c>
      <c r="E237" s="28" t="s">
        <v>62</v>
      </c>
      <c r="F237" s="28" t="s">
        <v>654</v>
      </c>
      <c r="G237" s="29">
        <v>42310</v>
      </c>
      <c r="H237" s="30">
        <v>1645590</v>
      </c>
      <c r="I237" s="28" t="str">
        <f>VLOOKUP('S&amp;P 500'!$E237,'Converted GISC'!$A$1:$C$159,2,FALSE)</f>
        <v>Technology Hardware, Storage &amp; Peripherals</v>
      </c>
    </row>
    <row r="238" spans="1:9" x14ac:dyDescent="0.25">
      <c r="A238" s="25" t="s">
        <v>804</v>
      </c>
      <c r="B238" s="25" t="s">
        <v>805</v>
      </c>
      <c r="C238" s="25" t="s">
        <v>106</v>
      </c>
      <c r="D238" s="25" t="s">
        <v>72</v>
      </c>
      <c r="E238" s="25" t="s">
        <v>409</v>
      </c>
      <c r="F238" s="25" t="s">
        <v>398</v>
      </c>
      <c r="G238" s="26">
        <v>42905</v>
      </c>
      <c r="H238" s="27">
        <v>1585689</v>
      </c>
      <c r="I238" s="25" t="str">
        <f>VLOOKUP('S&amp;P 500'!$E238,'Converted GISC'!$A$1:$C$159,2,FALSE)</f>
        <v>Hotels, Restaurants &amp; Leisure</v>
      </c>
    </row>
    <row r="239" spans="1:9" x14ac:dyDescent="0.25">
      <c r="A239" s="28" t="s">
        <v>806</v>
      </c>
      <c r="B239" s="28" t="s">
        <v>807</v>
      </c>
      <c r="C239" s="28" t="s">
        <v>106</v>
      </c>
      <c r="D239" s="28" t="s">
        <v>76</v>
      </c>
      <c r="E239" s="28" t="s">
        <v>110</v>
      </c>
      <c r="F239" s="28" t="s">
        <v>370</v>
      </c>
      <c r="G239" s="29">
        <v>42459</v>
      </c>
      <c r="H239" s="30">
        <v>859737</v>
      </c>
      <c r="I239" s="28" t="str">
        <f>VLOOKUP('S&amp;P 500'!$E239,'Converted GISC'!$A$1:$C$159,2,FALSE)</f>
        <v>Health Care Equipment &amp; Supplies</v>
      </c>
    </row>
    <row r="240" spans="1:9" x14ac:dyDescent="0.25">
      <c r="A240" s="25" t="s">
        <v>808</v>
      </c>
      <c r="B240" s="25" t="s">
        <v>809</v>
      </c>
      <c r="C240" s="25" t="s">
        <v>106</v>
      </c>
      <c r="D240" s="25" t="s">
        <v>72</v>
      </c>
      <c r="E240" s="25" t="s">
        <v>810</v>
      </c>
      <c r="F240" s="25" t="s">
        <v>125</v>
      </c>
      <c r="G240" s="26">
        <v>32233</v>
      </c>
      <c r="H240" s="27">
        <v>354950</v>
      </c>
      <c r="I240" s="25" t="str">
        <f>VLOOKUP('S&amp;P 500'!$E240,'Converted GISC'!$A$1:$C$159,2,FALSE)</f>
        <v>Specialty Retail</v>
      </c>
    </row>
    <row r="241" spans="1:9" x14ac:dyDescent="0.25">
      <c r="A241" s="28" t="s">
        <v>811</v>
      </c>
      <c r="B241" s="28" t="s">
        <v>812</v>
      </c>
      <c r="C241" s="28" t="s">
        <v>106</v>
      </c>
      <c r="D241" s="28" t="s">
        <v>77</v>
      </c>
      <c r="E241" s="28" t="s">
        <v>49</v>
      </c>
      <c r="F241" s="28" t="s">
        <v>813</v>
      </c>
      <c r="G241" s="29">
        <v>23467</v>
      </c>
      <c r="H241" s="30">
        <v>773840</v>
      </c>
      <c r="I241" s="28" t="str">
        <f>VLOOKUP('S&amp;P 500'!$E241,'Converted GISC'!$A$1:$C$159,2,FALSE)</f>
        <v>Industrial Conglomerates</v>
      </c>
    </row>
    <row r="242" spans="1:9" x14ac:dyDescent="0.25">
      <c r="A242" s="25" t="s">
        <v>814</v>
      </c>
      <c r="B242" s="25" t="s">
        <v>815</v>
      </c>
      <c r="C242" s="25" t="s">
        <v>106</v>
      </c>
      <c r="D242" s="25" t="s">
        <v>73</v>
      </c>
      <c r="E242" s="25" t="s">
        <v>394</v>
      </c>
      <c r="F242" s="25" t="s">
        <v>816</v>
      </c>
      <c r="G242" s="26">
        <v>39876</v>
      </c>
      <c r="H242" s="27">
        <v>48465</v>
      </c>
      <c r="I242" s="25" t="str">
        <f>VLOOKUP('S&amp;P 500'!$E242,'Converted GISC'!$A$1:$C$159,2,FALSE)</f>
        <v>Food Products</v>
      </c>
    </row>
    <row r="243" spans="1:9" x14ac:dyDescent="0.25">
      <c r="A243" s="28" t="s">
        <v>817</v>
      </c>
      <c r="B243" s="28" t="s">
        <v>818</v>
      </c>
      <c r="C243" s="28" t="s">
        <v>106</v>
      </c>
      <c r="D243" s="28" t="s">
        <v>80</v>
      </c>
      <c r="E243" s="28" t="s">
        <v>819</v>
      </c>
      <c r="F243" s="28" t="s">
        <v>820</v>
      </c>
      <c r="G243" s="29">
        <v>39161</v>
      </c>
      <c r="H243" s="30">
        <v>1070750</v>
      </c>
      <c r="I243" s="28" t="str">
        <f>VLOOKUP('S&amp;P 500'!$E243,'Converted GISC'!$A$1:$C$159,2,FALSE)</f>
        <v>Equity Real Estate Investment Trusts (REITs)</v>
      </c>
    </row>
    <row r="244" spans="1:9" x14ac:dyDescent="0.25">
      <c r="A244" s="25" t="s">
        <v>821</v>
      </c>
      <c r="B244" s="25" t="s">
        <v>822</v>
      </c>
      <c r="C244" s="25" t="s">
        <v>106</v>
      </c>
      <c r="D244" s="25" t="s">
        <v>78</v>
      </c>
      <c r="E244" s="25" t="s">
        <v>62</v>
      </c>
      <c r="F244" s="25" t="s">
        <v>654</v>
      </c>
      <c r="G244" s="26">
        <v>27394</v>
      </c>
      <c r="H244" s="27">
        <v>47217</v>
      </c>
      <c r="I244" s="25" t="str">
        <f>VLOOKUP('S&amp;P 500'!$E244,'Converted GISC'!$A$1:$C$159,2,FALSE)</f>
        <v>Technology Hardware, Storage &amp; Peripherals</v>
      </c>
    </row>
    <row r="245" spans="1:9" x14ac:dyDescent="0.25">
      <c r="A245" s="28" t="s">
        <v>823</v>
      </c>
      <c r="B245" s="28" t="s">
        <v>824</v>
      </c>
      <c r="C245" s="28" t="s">
        <v>106</v>
      </c>
      <c r="D245" s="28" t="s">
        <v>76</v>
      </c>
      <c r="E245" s="28" t="s">
        <v>144</v>
      </c>
      <c r="F245" s="28" t="s">
        <v>380</v>
      </c>
      <c r="G245" s="29"/>
      <c r="H245" s="30">
        <v>49071</v>
      </c>
      <c r="I245" s="28" t="str">
        <f>VLOOKUP('S&amp;P 500'!$E245,'Converted GISC'!$A$1:$C$159,2,FALSE)</f>
        <v>Health Care Providers &amp; Services</v>
      </c>
    </row>
    <row r="246" spans="1:9" x14ac:dyDescent="0.25">
      <c r="A246" s="25" t="s">
        <v>825</v>
      </c>
      <c r="B246" s="25" t="s">
        <v>826</v>
      </c>
      <c r="C246" s="25" t="s">
        <v>106</v>
      </c>
      <c r="D246" s="25" t="s">
        <v>75</v>
      </c>
      <c r="E246" s="25" t="s">
        <v>336</v>
      </c>
      <c r="F246" s="25" t="s">
        <v>215</v>
      </c>
      <c r="G246" s="26"/>
      <c r="H246" s="27">
        <v>49196</v>
      </c>
      <c r="I246" s="25" t="str">
        <f>VLOOKUP('S&amp;P 500'!$E246,'Converted GISC'!$A$1:$C$159,2,FALSE)</f>
        <v>Banks</v>
      </c>
    </row>
    <row r="247" spans="1:9" x14ac:dyDescent="0.25">
      <c r="A247" s="28" t="s">
        <v>827</v>
      </c>
      <c r="B247" s="28" t="s">
        <v>828</v>
      </c>
      <c r="C247" s="28" t="s">
        <v>106</v>
      </c>
      <c r="D247" s="28" t="s">
        <v>77</v>
      </c>
      <c r="E247" s="28" t="s">
        <v>42</v>
      </c>
      <c r="F247" s="28" t="s">
        <v>829</v>
      </c>
      <c r="G247" s="29">
        <v>43103</v>
      </c>
      <c r="H247" s="30">
        <v>1501585</v>
      </c>
      <c r="I247" s="28" t="str">
        <f>VLOOKUP('S&amp;P 500'!$E247,'Converted GISC'!$A$1:$C$159,2,FALSE)</f>
        <v>Aerospace &amp; Defense</v>
      </c>
    </row>
    <row r="248" spans="1:9" x14ac:dyDescent="0.25">
      <c r="A248" s="25" t="s">
        <v>830</v>
      </c>
      <c r="B248" s="25" t="s">
        <v>831</v>
      </c>
      <c r="C248" s="25" t="s">
        <v>106</v>
      </c>
      <c r="D248" s="25" t="s">
        <v>76</v>
      </c>
      <c r="E248" s="25" t="s">
        <v>110</v>
      </c>
      <c r="F248" s="25" t="s">
        <v>832</v>
      </c>
      <c r="G248" s="26">
        <v>42740</v>
      </c>
      <c r="H248" s="27">
        <v>874716</v>
      </c>
      <c r="I248" s="25" t="str">
        <f>VLOOKUP('S&amp;P 500'!$E248,'Converted GISC'!$A$1:$C$159,2,FALSE)</f>
        <v>Health Care Equipment &amp; Supplies</v>
      </c>
    </row>
    <row r="249" spans="1:9" x14ac:dyDescent="0.25">
      <c r="A249" s="28" t="s">
        <v>833</v>
      </c>
      <c r="B249" s="28" t="s">
        <v>834</v>
      </c>
      <c r="C249" s="28" t="s">
        <v>106</v>
      </c>
      <c r="D249" s="28" t="s">
        <v>77</v>
      </c>
      <c r="E249" s="28" t="s">
        <v>647</v>
      </c>
      <c r="F249" s="28" t="s">
        <v>265</v>
      </c>
      <c r="G249" s="29">
        <v>42888</v>
      </c>
      <c r="H249" s="30">
        <v>1598014</v>
      </c>
      <c r="I249" s="28" t="str">
        <f>VLOOKUP('S&amp;P 500'!$E249,'Converted GISC'!$A$1:$C$159,2,FALSE)</f>
        <v>Professional Services</v>
      </c>
    </row>
    <row r="250" spans="1:9" x14ac:dyDescent="0.25">
      <c r="A250" s="25" t="s">
        <v>835</v>
      </c>
      <c r="B250" s="25" t="s">
        <v>836</v>
      </c>
      <c r="C250" s="25" t="s">
        <v>106</v>
      </c>
      <c r="D250" s="25" t="s">
        <v>77</v>
      </c>
      <c r="E250" s="25" t="s">
        <v>540</v>
      </c>
      <c r="F250" s="25" t="s">
        <v>837</v>
      </c>
      <c r="G250" s="26">
        <v>31471</v>
      </c>
      <c r="H250" s="27">
        <v>49826</v>
      </c>
      <c r="I250" s="25" t="str">
        <f>VLOOKUP('S&amp;P 500'!$E250,'Converted GISC'!$A$1:$C$159,2,FALSE)</f>
        <v>Machinery</v>
      </c>
    </row>
    <row r="251" spans="1:9" x14ac:dyDescent="0.25">
      <c r="A251" s="28" t="s">
        <v>838</v>
      </c>
      <c r="B251" s="28" t="s">
        <v>839</v>
      </c>
      <c r="C251" s="28" t="s">
        <v>106</v>
      </c>
      <c r="D251" s="28" t="s">
        <v>76</v>
      </c>
      <c r="E251" s="28" t="s">
        <v>40</v>
      </c>
      <c r="F251" s="28" t="s">
        <v>840</v>
      </c>
      <c r="G251" s="29">
        <v>42327</v>
      </c>
      <c r="H251" s="30">
        <v>1110803</v>
      </c>
      <c r="I251" s="28" t="str">
        <f>VLOOKUP('S&amp;P 500'!$E251,'Converted GISC'!$A$1:$C$159,2,FALSE)</f>
        <v>Life Sciences Tools &amp; Services</v>
      </c>
    </row>
    <row r="252" spans="1:9" x14ac:dyDescent="0.25">
      <c r="A252" s="25" t="s">
        <v>841</v>
      </c>
      <c r="B252" s="25" t="s">
        <v>842</v>
      </c>
      <c r="C252" s="25" t="s">
        <v>106</v>
      </c>
      <c r="D252" s="25" t="s">
        <v>77</v>
      </c>
      <c r="E252" s="25" t="s">
        <v>540</v>
      </c>
      <c r="F252" s="25" t="s">
        <v>117</v>
      </c>
      <c r="G252" s="26">
        <v>40499</v>
      </c>
      <c r="H252" s="27">
        <v>1466258</v>
      </c>
      <c r="I252" s="25" t="str">
        <f>VLOOKUP('S&amp;P 500'!$E252,'Converted GISC'!$A$1:$C$159,2,FALSE)</f>
        <v>Machinery</v>
      </c>
    </row>
    <row r="253" spans="1:9" x14ac:dyDescent="0.25">
      <c r="A253" s="28" t="s">
        <v>843</v>
      </c>
      <c r="B253" s="28" t="s">
        <v>844</v>
      </c>
      <c r="C253" s="28" t="s">
        <v>106</v>
      </c>
      <c r="D253" s="28" t="s">
        <v>78</v>
      </c>
      <c r="E253" s="28" t="s">
        <v>132</v>
      </c>
      <c r="F253" s="28" t="s">
        <v>156</v>
      </c>
      <c r="G253" s="29">
        <v>28125</v>
      </c>
      <c r="H253" s="30">
        <v>50863</v>
      </c>
      <c r="I253" s="28" t="str">
        <f>VLOOKUP('S&amp;P 500'!$E253,'Converted GISC'!$A$1:$C$159,2,FALSE)</f>
        <v>Semiconductors &amp; Semiconductor Equipment</v>
      </c>
    </row>
    <row r="254" spans="1:9" x14ac:dyDescent="0.25">
      <c r="A254" s="25" t="s">
        <v>845</v>
      </c>
      <c r="B254" s="25" t="s">
        <v>846</v>
      </c>
      <c r="C254" s="25" t="s">
        <v>106</v>
      </c>
      <c r="D254" s="25" t="s">
        <v>75</v>
      </c>
      <c r="E254" s="25" t="s">
        <v>404</v>
      </c>
      <c r="F254" s="25" t="s">
        <v>125</v>
      </c>
      <c r="G254" s="26">
        <v>39351</v>
      </c>
      <c r="H254" s="27">
        <v>1571949</v>
      </c>
      <c r="I254" s="25" t="str">
        <f>VLOOKUP('S&amp;P 500'!$E254,'Converted GISC'!$A$1:$C$159,2,FALSE)</f>
        <v>Capital Markets</v>
      </c>
    </row>
    <row r="255" spans="1:9" x14ac:dyDescent="0.25">
      <c r="A255" s="28" t="s">
        <v>847</v>
      </c>
      <c r="B255" s="28" t="s">
        <v>848</v>
      </c>
      <c r="C255" s="28" t="s">
        <v>106</v>
      </c>
      <c r="D255" s="28" t="s">
        <v>78</v>
      </c>
      <c r="E255" s="28" t="s">
        <v>116</v>
      </c>
      <c r="F255" s="28" t="s">
        <v>849</v>
      </c>
      <c r="G255" s="29"/>
      <c r="H255" s="30">
        <v>51143</v>
      </c>
      <c r="I255" s="28" t="str">
        <f>VLOOKUP('S&amp;P 500'!$E255,'Converted GISC'!$A$1:$C$159,2,FALSE)</f>
        <v>IT Services</v>
      </c>
    </row>
    <row r="256" spans="1:9" x14ac:dyDescent="0.25">
      <c r="A256" s="25" t="s">
        <v>850</v>
      </c>
      <c r="B256" s="25" t="s">
        <v>851</v>
      </c>
      <c r="C256" s="25" t="s">
        <v>106</v>
      </c>
      <c r="D256" s="25" t="s">
        <v>76</v>
      </c>
      <c r="E256" s="25" t="s">
        <v>36</v>
      </c>
      <c r="F256" s="25" t="s">
        <v>852</v>
      </c>
      <c r="G256" s="26">
        <v>42794</v>
      </c>
      <c r="H256" s="27">
        <v>879169</v>
      </c>
      <c r="I256" s="25" t="str">
        <f>VLOOKUP('S&amp;P 500'!$E256,'Converted GISC'!$A$1:$C$159,2,FALSE)</f>
        <v>Biotechnology</v>
      </c>
    </row>
    <row r="257" spans="1:9" x14ac:dyDescent="0.25">
      <c r="A257" s="28" t="s">
        <v>853</v>
      </c>
      <c r="B257" s="28" t="s">
        <v>854</v>
      </c>
      <c r="C257" s="28" t="s">
        <v>106</v>
      </c>
      <c r="D257" s="28" t="s">
        <v>79</v>
      </c>
      <c r="E257" s="28" t="s">
        <v>316</v>
      </c>
      <c r="F257" s="28" t="s">
        <v>311</v>
      </c>
      <c r="G257" s="29"/>
      <c r="H257" s="30">
        <v>51434</v>
      </c>
      <c r="I257" s="28" t="str">
        <f>VLOOKUP('S&amp;P 500'!$E257,'Converted GISC'!$A$1:$C$159,2,FALSE)</f>
        <v>Containers &amp; Packaging</v>
      </c>
    </row>
    <row r="258" spans="1:9" x14ac:dyDescent="0.25">
      <c r="A258" s="25" t="s">
        <v>855</v>
      </c>
      <c r="B258" s="25" t="s">
        <v>856</v>
      </c>
      <c r="C258" s="25" t="s">
        <v>106</v>
      </c>
      <c r="D258" s="25" t="s">
        <v>72</v>
      </c>
      <c r="E258" s="25" t="s">
        <v>857</v>
      </c>
      <c r="F258" s="25" t="s">
        <v>218</v>
      </c>
      <c r="G258" s="26">
        <v>33878</v>
      </c>
      <c r="H258" s="27">
        <v>51644</v>
      </c>
      <c r="I258" s="25" t="str">
        <f>VLOOKUP('S&amp;P 500'!$E258,'Converted GISC'!$A$1:$C$159,2,FALSE)</f>
        <v>Media</v>
      </c>
    </row>
    <row r="259" spans="1:9" x14ac:dyDescent="0.25">
      <c r="A259" s="28" t="s">
        <v>858</v>
      </c>
      <c r="B259" s="28" t="s">
        <v>859</v>
      </c>
      <c r="C259" s="28" t="s">
        <v>106</v>
      </c>
      <c r="D259" s="28" t="s">
        <v>79</v>
      </c>
      <c r="E259" s="28" t="s">
        <v>169</v>
      </c>
      <c r="F259" s="28" t="s">
        <v>218</v>
      </c>
      <c r="G259" s="29">
        <v>27850</v>
      </c>
      <c r="H259" s="30">
        <v>51253</v>
      </c>
      <c r="I259" s="28" t="str">
        <f>VLOOKUP('S&amp;P 500'!$E259,'Converted GISC'!$A$1:$C$159,2,FALSE)</f>
        <v>Chemicals</v>
      </c>
    </row>
    <row r="260" spans="1:9" x14ac:dyDescent="0.25">
      <c r="A260" s="25" t="s">
        <v>860</v>
      </c>
      <c r="B260" s="25" t="s">
        <v>861</v>
      </c>
      <c r="C260" s="25" t="s">
        <v>106</v>
      </c>
      <c r="D260" s="25" t="s">
        <v>78</v>
      </c>
      <c r="E260" s="25" t="s">
        <v>59</v>
      </c>
      <c r="F260" s="25" t="s">
        <v>198</v>
      </c>
      <c r="G260" s="26">
        <v>36865</v>
      </c>
      <c r="H260" s="27">
        <v>896878</v>
      </c>
      <c r="I260" s="25" t="str">
        <f>VLOOKUP('S&amp;P 500'!$E260,'Converted GISC'!$A$1:$C$159,2,FALSE)</f>
        <v>Internet Software &amp; Services</v>
      </c>
    </row>
    <row r="261" spans="1:9" x14ac:dyDescent="0.25">
      <c r="A261" s="28" t="s">
        <v>862</v>
      </c>
      <c r="B261" s="28" t="s">
        <v>863</v>
      </c>
      <c r="C261" s="28" t="s">
        <v>106</v>
      </c>
      <c r="D261" s="28" t="s">
        <v>76</v>
      </c>
      <c r="E261" s="28" t="s">
        <v>110</v>
      </c>
      <c r="F261" s="28" t="s">
        <v>133</v>
      </c>
      <c r="G261" s="29">
        <v>39601</v>
      </c>
      <c r="H261" s="30">
        <v>1035267</v>
      </c>
      <c r="I261" s="28" t="str">
        <f>VLOOKUP('S&amp;P 500'!$E261,'Converted GISC'!$A$1:$C$159,2,FALSE)</f>
        <v>Health Care Equipment &amp; Supplies</v>
      </c>
    </row>
    <row r="262" spans="1:9" x14ac:dyDescent="0.25">
      <c r="A262" s="25" t="s">
        <v>864</v>
      </c>
      <c r="B262" s="25" t="s">
        <v>865</v>
      </c>
      <c r="C262" s="25" t="s">
        <v>106</v>
      </c>
      <c r="D262" s="25" t="s">
        <v>75</v>
      </c>
      <c r="E262" s="25" t="s">
        <v>148</v>
      </c>
      <c r="F262" s="25" t="s">
        <v>125</v>
      </c>
      <c r="G262" s="26">
        <v>39681</v>
      </c>
      <c r="H262" s="27">
        <v>914208</v>
      </c>
      <c r="I262" s="25" t="str">
        <f>VLOOKUP('S&amp;P 500'!$E262,'Converted GISC'!$A$1:$C$159,2,FALSE)</f>
        <v>Capital Markets</v>
      </c>
    </row>
    <row r="263" spans="1:9" x14ac:dyDescent="0.25">
      <c r="A263" s="28" t="s">
        <v>866</v>
      </c>
      <c r="B263" s="28" t="s">
        <v>867</v>
      </c>
      <c r="C263" s="28" t="s">
        <v>106</v>
      </c>
      <c r="D263" s="28" t="s">
        <v>76</v>
      </c>
      <c r="E263" s="28" t="s">
        <v>868</v>
      </c>
      <c r="F263" s="28" t="s">
        <v>869</v>
      </c>
      <c r="G263" s="29">
        <v>42976</v>
      </c>
      <c r="H263" s="30">
        <v>1478242</v>
      </c>
      <c r="I263" s="28" t="e">
        <f>VLOOKUP('S&amp;P 500'!$E263,'Converted GISC'!$A$1:$C$159,2,FALSE)</f>
        <v>#N/A</v>
      </c>
    </row>
    <row r="264" spans="1:9" x14ac:dyDescent="0.25">
      <c r="A264" s="25" t="s">
        <v>870</v>
      </c>
      <c r="B264" s="25" t="s">
        <v>871</v>
      </c>
      <c r="C264" s="25" t="s">
        <v>106</v>
      </c>
      <c r="D264" s="25" t="s">
        <v>80</v>
      </c>
      <c r="E264" s="25" t="s">
        <v>223</v>
      </c>
      <c r="F264" s="25" t="s">
        <v>224</v>
      </c>
      <c r="G264" s="26">
        <v>39819</v>
      </c>
      <c r="H264" s="27">
        <v>1020569</v>
      </c>
      <c r="I264" s="25" t="str">
        <f>VLOOKUP('S&amp;P 500'!$E264,'Converted GISC'!$A$1:$C$159,2,FALSE)</f>
        <v>Equity Real Estate Investment Trusts (REITs)</v>
      </c>
    </row>
    <row r="265" spans="1:9" x14ac:dyDescent="0.25">
      <c r="A265" s="28" t="s">
        <v>872</v>
      </c>
      <c r="B265" s="28" t="s">
        <v>873</v>
      </c>
      <c r="C265" s="28" t="s">
        <v>106</v>
      </c>
      <c r="D265" s="28" t="s">
        <v>77</v>
      </c>
      <c r="E265" s="28" t="s">
        <v>47</v>
      </c>
      <c r="F265" s="28" t="s">
        <v>174</v>
      </c>
      <c r="G265" s="29">
        <v>39381</v>
      </c>
      <c r="H265" s="30">
        <v>52988</v>
      </c>
      <c r="I265" s="28" t="str">
        <f>VLOOKUP('S&amp;P 500'!$E265,'Converted GISC'!$A$1:$C$159,2,FALSE)</f>
        <v>Construction &amp; Engineering</v>
      </c>
    </row>
    <row r="266" spans="1:9" x14ac:dyDescent="0.25">
      <c r="A266" s="25" t="s">
        <v>874</v>
      </c>
      <c r="B266" s="25" t="s">
        <v>875</v>
      </c>
      <c r="C266" s="25" t="s">
        <v>106</v>
      </c>
      <c r="D266" s="25" t="s">
        <v>77</v>
      </c>
      <c r="E266" s="25" t="s">
        <v>876</v>
      </c>
      <c r="F266" s="25" t="s">
        <v>877</v>
      </c>
      <c r="G266" s="26">
        <v>42186</v>
      </c>
      <c r="H266" s="27">
        <v>728535</v>
      </c>
      <c r="I266" s="25" t="str">
        <f>VLOOKUP('S&amp;P 500'!$E266,'Converted GISC'!$A$1:$C$159,2,FALSE)</f>
        <v>Road &amp; Rail</v>
      </c>
    </row>
    <row r="267" spans="1:9" x14ac:dyDescent="0.25">
      <c r="A267" s="28" t="s">
        <v>878</v>
      </c>
      <c r="B267" s="28" t="s">
        <v>879</v>
      </c>
      <c r="C267" s="28" t="s">
        <v>106</v>
      </c>
      <c r="D267" s="28" t="s">
        <v>73</v>
      </c>
      <c r="E267" s="28" t="s">
        <v>394</v>
      </c>
      <c r="F267" s="28" t="s">
        <v>880</v>
      </c>
      <c r="G267" s="29">
        <v>39758</v>
      </c>
      <c r="H267" s="30">
        <v>91419</v>
      </c>
      <c r="I267" s="28" t="str">
        <f>VLOOKUP('S&amp;P 500'!$E267,'Converted GISC'!$A$1:$C$159,2,FALSE)</f>
        <v>Food Products</v>
      </c>
    </row>
    <row r="268" spans="1:9" x14ac:dyDescent="0.25">
      <c r="A268" s="25" t="s">
        <v>881</v>
      </c>
      <c r="B268" s="25" t="s">
        <v>882</v>
      </c>
      <c r="C268" s="25" t="s">
        <v>106</v>
      </c>
      <c r="D268" s="25" t="s">
        <v>76</v>
      </c>
      <c r="E268" s="25" t="s">
        <v>110</v>
      </c>
      <c r="F268" s="25" t="s">
        <v>883</v>
      </c>
      <c r="G268" s="26">
        <v>26845</v>
      </c>
      <c r="H268" s="27">
        <v>200406</v>
      </c>
      <c r="I268" s="25" t="str">
        <f>VLOOKUP('S&amp;P 500'!$E268,'Converted GISC'!$A$1:$C$159,2,FALSE)</f>
        <v>Health Care Equipment &amp; Supplies</v>
      </c>
    </row>
    <row r="269" spans="1:9" x14ac:dyDescent="0.25">
      <c r="A269" s="28" t="s">
        <v>884</v>
      </c>
      <c r="B269" s="28" t="s">
        <v>885</v>
      </c>
      <c r="C269" s="28" t="s">
        <v>106</v>
      </c>
      <c r="D269" s="28" t="s">
        <v>77</v>
      </c>
      <c r="E269" s="28" t="s">
        <v>45</v>
      </c>
      <c r="F269" s="28" t="s">
        <v>886</v>
      </c>
      <c r="G269" s="29">
        <v>40417</v>
      </c>
      <c r="H269" s="30">
        <v>833444</v>
      </c>
      <c r="I269" s="28" t="str">
        <f>VLOOKUP('S&amp;P 500'!$E269,'Converted GISC'!$A$1:$C$159,2,FALSE)</f>
        <v>Building Products</v>
      </c>
    </row>
    <row r="270" spans="1:9" x14ac:dyDescent="0.25">
      <c r="A270" s="25" t="s">
        <v>887</v>
      </c>
      <c r="B270" s="25" t="s">
        <v>888</v>
      </c>
      <c r="C270" s="25" t="s">
        <v>106</v>
      </c>
      <c r="D270" s="25" t="s">
        <v>75</v>
      </c>
      <c r="E270" s="25" t="s">
        <v>327</v>
      </c>
      <c r="F270" s="25" t="s">
        <v>218</v>
      </c>
      <c r="G270" s="26">
        <v>27575</v>
      </c>
      <c r="H270" s="27">
        <v>19617</v>
      </c>
      <c r="I270" s="25" t="str">
        <f>VLOOKUP('S&amp;P 500'!$E270,'Converted GISC'!$A$1:$C$159,2,FALSE)</f>
        <v>Banks</v>
      </c>
    </row>
    <row r="271" spans="1:9" x14ac:dyDescent="0.25">
      <c r="A271" s="28" t="s">
        <v>889</v>
      </c>
      <c r="B271" s="28" t="s">
        <v>890</v>
      </c>
      <c r="C271" s="28" t="s">
        <v>106</v>
      </c>
      <c r="D271" s="28" t="s">
        <v>78</v>
      </c>
      <c r="E271" s="28" t="s">
        <v>56</v>
      </c>
      <c r="F271" s="28" t="s">
        <v>133</v>
      </c>
      <c r="G271" s="29"/>
      <c r="H271" s="30">
        <v>1043604</v>
      </c>
      <c r="I271" s="28" t="str">
        <f>VLOOKUP('S&amp;P 500'!$E271,'Converted GISC'!$A$1:$C$159,2,FALSE)</f>
        <v>Communications Equipment</v>
      </c>
    </row>
    <row r="272" spans="1:9" x14ac:dyDescent="0.25">
      <c r="A272" s="25" t="s">
        <v>891</v>
      </c>
      <c r="B272" s="25" t="s">
        <v>892</v>
      </c>
      <c r="C272" s="25" t="s">
        <v>106</v>
      </c>
      <c r="D272" s="25" t="s">
        <v>77</v>
      </c>
      <c r="E272" s="25" t="s">
        <v>536</v>
      </c>
      <c r="F272" s="25" t="s">
        <v>356</v>
      </c>
      <c r="G272" s="26">
        <v>41418</v>
      </c>
      <c r="H272" s="27">
        <v>54480</v>
      </c>
      <c r="I272" s="25" t="str">
        <f>VLOOKUP('S&amp;P 500'!$E272,'Converted GISC'!$A$1:$C$159,2,FALSE)</f>
        <v>Road &amp; Rail</v>
      </c>
    </row>
    <row r="273" spans="1:9" x14ac:dyDescent="0.25">
      <c r="A273" s="28" t="s">
        <v>893</v>
      </c>
      <c r="B273" s="28" t="s">
        <v>894</v>
      </c>
      <c r="C273" s="28" t="s">
        <v>106</v>
      </c>
      <c r="D273" s="28" t="s">
        <v>73</v>
      </c>
      <c r="E273" s="28" t="s">
        <v>394</v>
      </c>
      <c r="F273" s="28" t="s">
        <v>895</v>
      </c>
      <c r="G273" s="29"/>
      <c r="H273" s="30">
        <v>55067</v>
      </c>
      <c r="I273" s="28" t="str">
        <f>VLOOKUP('S&amp;P 500'!$E273,'Converted GISC'!$A$1:$C$159,2,FALSE)</f>
        <v>Food Products</v>
      </c>
    </row>
    <row r="274" spans="1:9" x14ac:dyDescent="0.25">
      <c r="A274" s="25" t="s">
        <v>896</v>
      </c>
      <c r="B274" s="25" t="s">
        <v>897</v>
      </c>
      <c r="C274" s="25" t="s">
        <v>106</v>
      </c>
      <c r="D274" s="25" t="s">
        <v>75</v>
      </c>
      <c r="E274" s="25" t="s">
        <v>336</v>
      </c>
      <c r="F274" s="25" t="s">
        <v>898</v>
      </c>
      <c r="G274" s="26">
        <v>34394</v>
      </c>
      <c r="H274" s="27">
        <v>91576</v>
      </c>
      <c r="I274" s="25" t="str">
        <f>VLOOKUP('S&amp;P 500'!$E274,'Converted GISC'!$A$1:$C$159,2,FALSE)</f>
        <v>Banks</v>
      </c>
    </row>
    <row r="275" spans="1:9" x14ac:dyDescent="0.25">
      <c r="A275" s="28" t="s">
        <v>899</v>
      </c>
      <c r="B275" s="28" t="s">
        <v>900</v>
      </c>
      <c r="C275" s="28" t="s">
        <v>106</v>
      </c>
      <c r="D275" s="28" t="s">
        <v>73</v>
      </c>
      <c r="E275" s="28" t="s">
        <v>31</v>
      </c>
      <c r="F275" s="28" t="s">
        <v>679</v>
      </c>
      <c r="G275" s="29"/>
      <c r="H275" s="30">
        <v>55785</v>
      </c>
      <c r="I275" s="28" t="str">
        <f>VLOOKUP('S&amp;P 500'!$E275,'Converted GISC'!$A$1:$C$159,2,FALSE)</f>
        <v>Household Products</v>
      </c>
    </row>
    <row r="276" spans="1:9" x14ac:dyDescent="0.25">
      <c r="A276" s="25" t="s">
        <v>901</v>
      </c>
      <c r="B276" s="25" t="s">
        <v>902</v>
      </c>
      <c r="C276" s="25" t="s">
        <v>106</v>
      </c>
      <c r="D276" s="25" t="s">
        <v>80</v>
      </c>
      <c r="E276" s="25" t="s">
        <v>690</v>
      </c>
      <c r="F276" s="25" t="s">
        <v>903</v>
      </c>
      <c r="G276" s="26">
        <v>38811</v>
      </c>
      <c r="H276" s="27">
        <v>879101</v>
      </c>
      <c r="I276" s="25" t="str">
        <f>VLOOKUP('S&amp;P 500'!$E276,'Converted GISC'!$A$1:$C$159,2,FALSE)</f>
        <v>Equity Real Estate Investment Trusts (REITs)</v>
      </c>
    </row>
    <row r="277" spans="1:9" x14ac:dyDescent="0.25">
      <c r="A277" s="28" t="s">
        <v>904</v>
      </c>
      <c r="B277" s="28" t="s">
        <v>905</v>
      </c>
      <c r="C277" s="28" t="s">
        <v>106</v>
      </c>
      <c r="D277" s="28" t="s">
        <v>74</v>
      </c>
      <c r="E277" s="28" t="s">
        <v>906</v>
      </c>
      <c r="F277" s="28" t="s">
        <v>271</v>
      </c>
      <c r="G277" s="29">
        <v>41054</v>
      </c>
      <c r="H277" s="30">
        <v>1506307</v>
      </c>
      <c r="I277" s="28" t="str">
        <f>VLOOKUP('S&amp;P 500'!$E277,'Converted GISC'!$A$1:$C$159,2,FALSE)</f>
        <v>Oil, Gas &amp; Consumable Fuels</v>
      </c>
    </row>
    <row r="278" spans="1:9" x14ac:dyDescent="0.25">
      <c r="A278" s="25" t="s">
        <v>907</v>
      </c>
      <c r="B278" s="25" t="s">
        <v>908</v>
      </c>
      <c r="C278" s="25" t="s">
        <v>106</v>
      </c>
      <c r="D278" s="25" t="s">
        <v>78</v>
      </c>
      <c r="E278" s="25" t="s">
        <v>281</v>
      </c>
      <c r="F278" s="25" t="s">
        <v>909</v>
      </c>
      <c r="G278" s="26"/>
      <c r="H278" s="27">
        <v>319201</v>
      </c>
      <c r="I278" s="25" t="str">
        <f>VLOOKUP('S&amp;P 500'!$E278,'Converted GISC'!$A$1:$C$159,2,FALSE)</f>
        <v>Semiconductors &amp; Semiconductor Equipment</v>
      </c>
    </row>
    <row r="279" spans="1:9" x14ac:dyDescent="0.25">
      <c r="A279" s="28" t="s">
        <v>910</v>
      </c>
      <c r="B279" s="28" t="s">
        <v>911</v>
      </c>
      <c r="C279" s="28" t="s">
        <v>106</v>
      </c>
      <c r="D279" s="28" t="s">
        <v>72</v>
      </c>
      <c r="E279" s="28" t="s">
        <v>584</v>
      </c>
      <c r="F279" s="28" t="s">
        <v>912</v>
      </c>
      <c r="G279" s="29"/>
      <c r="H279" s="30">
        <v>885639</v>
      </c>
      <c r="I279" s="28" t="str">
        <f>VLOOKUP('S&amp;P 500'!$E279,'Converted GISC'!$A$1:$C$159,2,FALSE)</f>
        <v>Multiline Retail</v>
      </c>
    </row>
    <row r="280" spans="1:9" x14ac:dyDescent="0.25">
      <c r="A280" s="25" t="s">
        <v>913</v>
      </c>
      <c r="B280" s="25" t="s">
        <v>914</v>
      </c>
      <c r="C280" s="25" t="s">
        <v>106</v>
      </c>
      <c r="D280" s="25" t="s">
        <v>73</v>
      </c>
      <c r="E280" s="25" t="s">
        <v>394</v>
      </c>
      <c r="F280" s="25" t="s">
        <v>644</v>
      </c>
      <c r="G280" s="26">
        <v>42191</v>
      </c>
      <c r="H280" s="27">
        <v>1637459</v>
      </c>
      <c r="I280" s="25" t="str">
        <f>VLOOKUP('S&amp;P 500'!$E280,'Converted GISC'!$A$1:$C$159,2,FALSE)</f>
        <v>Food Products</v>
      </c>
    </row>
    <row r="281" spans="1:9" x14ac:dyDescent="0.25">
      <c r="A281" s="28" t="s">
        <v>915</v>
      </c>
      <c r="B281" s="28" t="s">
        <v>916</v>
      </c>
      <c r="C281" s="28" t="s">
        <v>106</v>
      </c>
      <c r="D281" s="28" t="s">
        <v>73</v>
      </c>
      <c r="E281" s="28" t="s">
        <v>917</v>
      </c>
      <c r="F281" s="28" t="s">
        <v>698</v>
      </c>
      <c r="G281" s="29"/>
      <c r="H281" s="30">
        <v>56873</v>
      </c>
      <c r="I281" s="28" t="str">
        <f>VLOOKUP('S&amp;P 500'!$E281,'Converted GISC'!$A$1:$C$159,2,FALSE)</f>
        <v>Food &amp; Staples Retailing</v>
      </c>
    </row>
    <row r="282" spans="1:9" x14ac:dyDescent="0.25">
      <c r="A282" s="25" t="s">
        <v>918</v>
      </c>
      <c r="B282" s="25" t="s">
        <v>919</v>
      </c>
      <c r="C282" s="25" t="s">
        <v>106</v>
      </c>
      <c r="D282" s="25" t="s">
        <v>72</v>
      </c>
      <c r="E282" s="25" t="s">
        <v>717</v>
      </c>
      <c r="F282" s="25" t="s">
        <v>215</v>
      </c>
      <c r="G282" s="26">
        <v>30589</v>
      </c>
      <c r="H282" s="27">
        <v>701985</v>
      </c>
      <c r="I282" s="25" t="str">
        <f>VLOOKUP('S&amp;P 500'!$E282,'Converted GISC'!$A$1:$C$159,2,FALSE)</f>
        <v>Specialty Retail</v>
      </c>
    </row>
    <row r="283" spans="1:9" x14ac:dyDescent="0.25">
      <c r="A283" s="28" t="s">
        <v>920</v>
      </c>
      <c r="B283" s="28" t="s">
        <v>921</v>
      </c>
      <c r="C283" s="28" t="s">
        <v>106</v>
      </c>
      <c r="D283" s="28" t="s">
        <v>77</v>
      </c>
      <c r="E283" s="28" t="s">
        <v>42</v>
      </c>
      <c r="F283" s="28" t="s">
        <v>218</v>
      </c>
      <c r="G283" s="29"/>
      <c r="H283" s="30">
        <v>1056239</v>
      </c>
      <c r="I283" s="28" t="str">
        <f>VLOOKUP('S&amp;P 500'!$E283,'Converted GISC'!$A$1:$C$159,2,FALSE)</f>
        <v>Aerospace &amp; Defense</v>
      </c>
    </row>
    <row r="284" spans="1:9" x14ac:dyDescent="0.25">
      <c r="A284" s="25" t="s">
        <v>922</v>
      </c>
      <c r="B284" s="25" t="s">
        <v>923</v>
      </c>
      <c r="C284" s="25" t="s">
        <v>106</v>
      </c>
      <c r="D284" s="25" t="s">
        <v>76</v>
      </c>
      <c r="E284" s="25" t="s">
        <v>638</v>
      </c>
      <c r="F284" s="25" t="s">
        <v>924</v>
      </c>
      <c r="G284" s="26">
        <v>38292</v>
      </c>
      <c r="H284" s="27">
        <v>920148</v>
      </c>
      <c r="I284" s="25" t="str">
        <f>VLOOKUP('S&amp;P 500'!$E284,'Converted GISC'!$A$1:$C$159,2,FALSE)</f>
        <v>Health Care Providers &amp; Services</v>
      </c>
    </row>
    <row r="285" spans="1:9" x14ac:dyDescent="0.25">
      <c r="A285" s="28" t="s">
        <v>925</v>
      </c>
      <c r="B285" s="28" t="s">
        <v>926</v>
      </c>
      <c r="C285" s="28" t="s">
        <v>106</v>
      </c>
      <c r="D285" s="28" t="s">
        <v>78</v>
      </c>
      <c r="E285" s="28" t="s">
        <v>281</v>
      </c>
      <c r="F285" s="28" t="s">
        <v>927</v>
      </c>
      <c r="G285" s="29">
        <v>41089</v>
      </c>
      <c r="H285" s="30">
        <v>707549</v>
      </c>
      <c r="I285" s="28" t="str">
        <f>VLOOKUP('S&amp;P 500'!$E285,'Converted GISC'!$A$1:$C$159,2,FALSE)</f>
        <v>Semiconductors &amp; Semiconductor Equipment</v>
      </c>
    </row>
    <row r="286" spans="1:9" x14ac:dyDescent="0.25">
      <c r="A286" s="25" t="s">
        <v>928</v>
      </c>
      <c r="B286" s="25" t="s">
        <v>929</v>
      </c>
      <c r="C286" s="25" t="s">
        <v>106</v>
      </c>
      <c r="D286" s="25" t="s">
        <v>72</v>
      </c>
      <c r="E286" s="25" t="s">
        <v>930</v>
      </c>
      <c r="F286" s="25" t="s">
        <v>931</v>
      </c>
      <c r="G286" s="26"/>
      <c r="H286" s="27">
        <v>58492</v>
      </c>
      <c r="I286" s="25" t="str">
        <f>VLOOKUP('S&amp;P 500'!$E286,'Converted GISC'!$A$1:$C$159,2,FALSE)</f>
        <v>Household Durables</v>
      </c>
    </row>
    <row r="287" spans="1:9" x14ac:dyDescent="0.25">
      <c r="A287" s="28" t="s">
        <v>932</v>
      </c>
      <c r="B287" s="28" t="s">
        <v>933</v>
      </c>
      <c r="C287" s="28" t="s">
        <v>106</v>
      </c>
      <c r="D287" s="28" t="s">
        <v>72</v>
      </c>
      <c r="E287" s="28" t="s">
        <v>548</v>
      </c>
      <c r="F287" s="28" t="s">
        <v>410</v>
      </c>
      <c r="G287" s="29">
        <v>38629</v>
      </c>
      <c r="H287" s="30">
        <v>920760</v>
      </c>
      <c r="I287" s="28" t="str">
        <f>VLOOKUP('S&amp;P 500'!$E287,'Converted GISC'!$A$1:$C$159,2,FALSE)</f>
        <v>Household Durables</v>
      </c>
    </row>
    <row r="288" spans="1:9" x14ac:dyDescent="0.25">
      <c r="A288" s="25" t="s">
        <v>934</v>
      </c>
      <c r="B288" s="25" t="s">
        <v>935</v>
      </c>
      <c r="C288" s="25" t="s">
        <v>106</v>
      </c>
      <c r="D288" s="25" t="s">
        <v>75</v>
      </c>
      <c r="E288" s="25" t="s">
        <v>343</v>
      </c>
      <c r="F288" s="25" t="s">
        <v>218</v>
      </c>
      <c r="G288" s="26">
        <v>39321</v>
      </c>
      <c r="H288" s="27">
        <v>96223</v>
      </c>
      <c r="I288" s="25" t="str">
        <f>VLOOKUP('S&amp;P 500'!$E288,'Converted GISC'!$A$1:$C$159,2,FALSE)</f>
        <v>Diversified Financial Services</v>
      </c>
    </row>
    <row r="289" spans="1:9" x14ac:dyDescent="0.25">
      <c r="A289" s="28" t="s">
        <v>936</v>
      </c>
      <c r="B289" s="28" t="s">
        <v>937</v>
      </c>
      <c r="C289" s="28" t="s">
        <v>106</v>
      </c>
      <c r="D289" s="28" t="s">
        <v>76</v>
      </c>
      <c r="E289" s="28" t="s">
        <v>41</v>
      </c>
      <c r="F289" s="28" t="s">
        <v>261</v>
      </c>
      <c r="G289" s="29">
        <v>25933</v>
      </c>
      <c r="H289" s="30">
        <v>59478</v>
      </c>
      <c r="I289" s="28" t="str">
        <f>VLOOKUP('S&amp;P 500'!$E289,'Converted GISC'!$A$1:$C$159,2,FALSE)</f>
        <v>Pharmaceuticals</v>
      </c>
    </row>
    <row r="290" spans="1:9" x14ac:dyDescent="0.25">
      <c r="A290" s="25" t="s">
        <v>938</v>
      </c>
      <c r="B290" s="25" t="s">
        <v>939</v>
      </c>
      <c r="C290" s="25" t="s">
        <v>106</v>
      </c>
      <c r="D290" s="25" t="s">
        <v>75</v>
      </c>
      <c r="E290" s="25" t="s">
        <v>297</v>
      </c>
      <c r="F290" s="25" t="s">
        <v>940</v>
      </c>
      <c r="G290" s="26">
        <v>27941</v>
      </c>
      <c r="H290" s="27">
        <v>59558</v>
      </c>
      <c r="I290" s="25" t="str">
        <f>VLOOKUP('S&amp;P 500'!$E290,'Converted GISC'!$A$1:$C$159,2,FALSE)</f>
        <v>Insurance</v>
      </c>
    </row>
    <row r="291" spans="1:9" x14ac:dyDescent="0.25">
      <c r="A291" s="28" t="s">
        <v>941</v>
      </c>
      <c r="B291" s="28" t="s">
        <v>942</v>
      </c>
      <c r="C291" s="28" t="s">
        <v>106</v>
      </c>
      <c r="D291" s="28" t="s">
        <v>72</v>
      </c>
      <c r="E291" s="28" t="s">
        <v>18</v>
      </c>
      <c r="F291" s="28" t="s">
        <v>359</v>
      </c>
      <c r="G291" s="29">
        <v>42513</v>
      </c>
      <c r="H291" s="30">
        <v>1065696</v>
      </c>
      <c r="I291" s="28" t="str">
        <f>VLOOKUP('S&amp;P 500'!$E291,'Converted GISC'!$A$1:$C$159,2,FALSE)</f>
        <v>Distributors</v>
      </c>
    </row>
    <row r="292" spans="1:9" x14ac:dyDescent="0.25">
      <c r="A292" s="25" t="s">
        <v>943</v>
      </c>
      <c r="B292" s="25" t="s">
        <v>944</v>
      </c>
      <c r="C292" s="25" t="s">
        <v>106</v>
      </c>
      <c r="D292" s="25" t="s">
        <v>77</v>
      </c>
      <c r="E292" s="25" t="s">
        <v>42</v>
      </c>
      <c r="F292" s="25" t="s">
        <v>820</v>
      </c>
      <c r="G292" s="26">
        <v>30894</v>
      </c>
      <c r="H292" s="27">
        <v>936468</v>
      </c>
      <c r="I292" s="25" t="str">
        <f>VLOOKUP('S&amp;P 500'!$E292,'Converted GISC'!$A$1:$C$159,2,FALSE)</f>
        <v>Aerospace &amp; Defense</v>
      </c>
    </row>
    <row r="293" spans="1:9" x14ac:dyDescent="0.25">
      <c r="A293" s="28" t="s">
        <v>945</v>
      </c>
      <c r="B293" s="28" t="s">
        <v>946</v>
      </c>
      <c r="C293" s="28" t="s">
        <v>106</v>
      </c>
      <c r="D293" s="28" t="s">
        <v>75</v>
      </c>
      <c r="E293" s="28" t="s">
        <v>297</v>
      </c>
      <c r="F293" s="28" t="s">
        <v>218</v>
      </c>
      <c r="G293" s="29"/>
      <c r="H293" s="30">
        <v>60086</v>
      </c>
      <c r="I293" s="28" t="str">
        <f>VLOOKUP('S&amp;P 500'!$E293,'Converted GISC'!$A$1:$C$159,2,FALSE)</f>
        <v>Insurance</v>
      </c>
    </row>
    <row r="294" spans="1:9" x14ac:dyDescent="0.25">
      <c r="A294" s="25" t="s">
        <v>947</v>
      </c>
      <c r="B294" s="25" t="s">
        <v>948</v>
      </c>
      <c r="C294" s="25" t="s">
        <v>106</v>
      </c>
      <c r="D294" s="25" t="s">
        <v>72</v>
      </c>
      <c r="E294" s="25" t="s">
        <v>810</v>
      </c>
      <c r="F294" s="25" t="s">
        <v>949</v>
      </c>
      <c r="G294" s="26">
        <v>30741</v>
      </c>
      <c r="H294" s="27">
        <v>60667</v>
      </c>
      <c r="I294" s="25" t="str">
        <f>VLOOKUP('S&amp;P 500'!$E294,'Converted GISC'!$A$1:$C$159,2,FALSE)</f>
        <v>Specialty Retail</v>
      </c>
    </row>
    <row r="295" spans="1:9" x14ac:dyDescent="0.25">
      <c r="A295" s="28" t="s">
        <v>950</v>
      </c>
      <c r="B295" s="28" t="s">
        <v>951</v>
      </c>
      <c r="C295" s="28" t="s">
        <v>106</v>
      </c>
      <c r="D295" s="28" t="s">
        <v>79</v>
      </c>
      <c r="E295" s="28" t="s">
        <v>169</v>
      </c>
      <c r="F295" s="28" t="s">
        <v>952</v>
      </c>
      <c r="G295" s="29">
        <v>41157</v>
      </c>
      <c r="H295" s="30">
        <v>1489393</v>
      </c>
      <c r="I295" s="28" t="str">
        <f>VLOOKUP('S&amp;P 500'!$E295,'Converted GISC'!$A$1:$C$159,2,FALSE)</f>
        <v>Chemicals</v>
      </c>
    </row>
    <row r="296" spans="1:9" x14ac:dyDescent="0.25">
      <c r="A296" s="25" t="s">
        <v>953</v>
      </c>
      <c r="B296" s="25" t="s">
        <v>954</v>
      </c>
      <c r="C296" s="25" t="s">
        <v>106</v>
      </c>
      <c r="D296" s="25" t="s">
        <v>75</v>
      </c>
      <c r="E296" s="25" t="s">
        <v>336</v>
      </c>
      <c r="F296" s="25" t="s">
        <v>955</v>
      </c>
      <c r="G296" s="26"/>
      <c r="H296" s="27">
        <v>36270</v>
      </c>
      <c r="I296" s="25" t="str">
        <f>VLOOKUP('S&amp;P 500'!$E296,'Converted GISC'!$A$1:$C$159,2,FALSE)</f>
        <v>Banks</v>
      </c>
    </row>
    <row r="297" spans="1:9" x14ac:dyDescent="0.25">
      <c r="A297" s="28" t="s">
        <v>956</v>
      </c>
      <c r="B297" s="28" t="s">
        <v>957</v>
      </c>
      <c r="C297" s="28" t="s">
        <v>106</v>
      </c>
      <c r="D297" s="28" t="s">
        <v>80</v>
      </c>
      <c r="E297" s="28" t="s">
        <v>690</v>
      </c>
      <c r="F297" s="28" t="s">
        <v>121</v>
      </c>
      <c r="G297" s="29">
        <v>41403</v>
      </c>
      <c r="H297" s="30">
        <v>912242</v>
      </c>
      <c r="I297" s="28" t="str">
        <f>VLOOKUP('S&amp;P 500'!$E297,'Converted GISC'!$A$1:$C$159,2,FALSE)</f>
        <v>Equity Real Estate Investment Trusts (REITs)</v>
      </c>
    </row>
    <row r="298" spans="1:9" x14ac:dyDescent="0.25">
      <c r="A298" s="25" t="s">
        <v>958</v>
      </c>
      <c r="B298" s="25" t="s">
        <v>959</v>
      </c>
      <c r="C298" s="25" t="s">
        <v>106</v>
      </c>
      <c r="D298" s="25" t="s">
        <v>72</v>
      </c>
      <c r="E298" s="25" t="s">
        <v>960</v>
      </c>
      <c r="F298" s="25" t="s">
        <v>698</v>
      </c>
      <c r="G298" s="26"/>
      <c r="H298" s="27">
        <v>794367</v>
      </c>
      <c r="I298" s="25" t="str">
        <f>VLOOKUP('S&amp;P 500'!$E298,'Converted GISC'!$A$1:$C$159,2,FALSE)</f>
        <v>Multiline Retail</v>
      </c>
    </row>
    <row r="299" spans="1:9" x14ac:dyDescent="0.25">
      <c r="A299" s="28" t="s">
        <v>961</v>
      </c>
      <c r="B299" s="28" t="s">
        <v>962</v>
      </c>
      <c r="C299" s="28" t="s">
        <v>106</v>
      </c>
      <c r="D299" s="28" t="s">
        <v>74</v>
      </c>
      <c r="E299" s="28" t="s">
        <v>247</v>
      </c>
      <c r="F299" s="28" t="s">
        <v>271</v>
      </c>
      <c r="G299" s="29">
        <v>33359</v>
      </c>
      <c r="H299" s="30">
        <v>101778</v>
      </c>
      <c r="I299" s="28" t="str">
        <f>VLOOKUP('S&amp;P 500'!$E299,'Converted GISC'!$A$1:$C$159,2,FALSE)</f>
        <v>Oil, Gas &amp; Consumable Fuels</v>
      </c>
    </row>
    <row r="300" spans="1:9" x14ac:dyDescent="0.25">
      <c r="A300" s="25" t="s">
        <v>963</v>
      </c>
      <c r="B300" s="25" t="s">
        <v>964</v>
      </c>
      <c r="C300" s="25" t="s">
        <v>106</v>
      </c>
      <c r="D300" s="25" t="s">
        <v>74</v>
      </c>
      <c r="E300" s="25" t="s">
        <v>254</v>
      </c>
      <c r="F300" s="25" t="s">
        <v>965</v>
      </c>
      <c r="G300" s="26">
        <v>40725</v>
      </c>
      <c r="H300" s="27">
        <v>1510295</v>
      </c>
      <c r="I300" s="25" t="str">
        <f>VLOOKUP('S&amp;P 500'!$E300,'Converted GISC'!$A$1:$C$159,2,FALSE)</f>
        <v>Oil, Gas &amp; Consumable Fuels</v>
      </c>
    </row>
    <row r="301" spans="1:9" x14ac:dyDescent="0.25">
      <c r="A301" s="28" t="s">
        <v>966</v>
      </c>
      <c r="B301" s="28" t="s">
        <v>967</v>
      </c>
      <c r="C301" s="28" t="s">
        <v>106</v>
      </c>
      <c r="D301" s="28" t="s">
        <v>72</v>
      </c>
      <c r="E301" s="28" t="s">
        <v>409</v>
      </c>
      <c r="F301" s="28" t="s">
        <v>820</v>
      </c>
      <c r="G301" s="29"/>
      <c r="H301" s="30">
        <v>1048286</v>
      </c>
      <c r="I301" s="28" t="str">
        <f>VLOOKUP('S&amp;P 500'!$E301,'Converted GISC'!$A$1:$C$159,2,FALSE)</f>
        <v>Hotels, Restaurants &amp; Leisure</v>
      </c>
    </row>
    <row r="302" spans="1:9" x14ac:dyDescent="0.25">
      <c r="A302" s="25" t="s">
        <v>968</v>
      </c>
      <c r="B302" s="25" t="s">
        <v>969</v>
      </c>
      <c r="C302" s="25" t="s">
        <v>106</v>
      </c>
      <c r="D302" s="25" t="s">
        <v>75</v>
      </c>
      <c r="E302" s="25" t="s">
        <v>264</v>
      </c>
      <c r="F302" s="25" t="s">
        <v>218</v>
      </c>
      <c r="G302" s="26">
        <v>32020</v>
      </c>
      <c r="H302" s="27">
        <v>62709</v>
      </c>
      <c r="I302" s="25" t="str">
        <f>VLOOKUP('S&amp;P 500'!$E302,'Converted GISC'!$A$1:$C$159,2,FALSE)</f>
        <v>Insurance</v>
      </c>
    </row>
    <row r="303" spans="1:9" x14ac:dyDescent="0.25">
      <c r="A303" s="28" t="s">
        <v>970</v>
      </c>
      <c r="B303" s="28" t="s">
        <v>971</v>
      </c>
      <c r="C303" s="28" t="s">
        <v>106</v>
      </c>
      <c r="D303" s="28" t="s">
        <v>79</v>
      </c>
      <c r="E303" s="28" t="s">
        <v>66</v>
      </c>
      <c r="F303" s="28" t="s">
        <v>972</v>
      </c>
      <c r="G303" s="29">
        <v>41822</v>
      </c>
      <c r="H303" s="30">
        <v>916076</v>
      </c>
      <c r="I303" s="28" t="str">
        <f>VLOOKUP('S&amp;P 500'!$E303,'Converted GISC'!$A$1:$C$159,2,FALSE)</f>
        <v>Construction Materials</v>
      </c>
    </row>
    <row r="304" spans="1:9" x14ac:dyDescent="0.25">
      <c r="A304" s="25" t="s">
        <v>973</v>
      </c>
      <c r="B304" s="25" t="s">
        <v>974</v>
      </c>
      <c r="C304" s="25" t="s">
        <v>106</v>
      </c>
      <c r="D304" s="25" t="s">
        <v>77</v>
      </c>
      <c r="E304" s="25" t="s">
        <v>45</v>
      </c>
      <c r="F304" s="25" t="s">
        <v>975</v>
      </c>
      <c r="G304" s="26">
        <v>29767</v>
      </c>
      <c r="H304" s="27">
        <v>62996</v>
      </c>
      <c r="I304" s="25" t="str">
        <f>VLOOKUP('S&amp;P 500'!$E304,'Converted GISC'!$A$1:$C$159,2,FALSE)</f>
        <v>Building Products</v>
      </c>
    </row>
    <row r="305" spans="1:9" x14ac:dyDescent="0.25">
      <c r="A305" s="28" t="s">
        <v>976</v>
      </c>
      <c r="B305" s="28" t="s">
        <v>977</v>
      </c>
      <c r="C305" s="28" t="s">
        <v>106</v>
      </c>
      <c r="D305" s="28" t="s">
        <v>78</v>
      </c>
      <c r="E305" s="28" t="s">
        <v>59</v>
      </c>
      <c r="F305" s="28" t="s">
        <v>978</v>
      </c>
      <c r="G305" s="29">
        <v>39647</v>
      </c>
      <c r="H305" s="30">
        <v>1141391</v>
      </c>
      <c r="I305" s="28" t="str">
        <f>VLOOKUP('S&amp;P 500'!$E305,'Converted GISC'!$A$1:$C$159,2,FALSE)</f>
        <v>Internet Software &amp; Services</v>
      </c>
    </row>
    <row r="306" spans="1:9" x14ac:dyDescent="0.25">
      <c r="A306" s="25" t="s">
        <v>979</v>
      </c>
      <c r="B306" s="25" t="s">
        <v>980</v>
      </c>
      <c r="C306" s="25" t="s">
        <v>106</v>
      </c>
      <c r="D306" s="25" t="s">
        <v>72</v>
      </c>
      <c r="E306" s="25" t="s">
        <v>23</v>
      </c>
      <c r="F306" s="25" t="s">
        <v>981</v>
      </c>
      <c r="G306" s="26">
        <v>30041</v>
      </c>
      <c r="H306" s="27">
        <v>63276</v>
      </c>
      <c r="I306" s="25" t="str">
        <f>VLOOKUP('S&amp;P 500'!$E306,'Converted GISC'!$A$1:$C$159,2,FALSE)</f>
        <v>Leisure Products</v>
      </c>
    </row>
    <row r="307" spans="1:9" x14ac:dyDescent="0.25">
      <c r="A307" s="28" t="s">
        <v>982</v>
      </c>
      <c r="B307" s="28" t="s">
        <v>983</v>
      </c>
      <c r="C307" s="28" t="s">
        <v>106</v>
      </c>
      <c r="D307" s="28" t="s">
        <v>73</v>
      </c>
      <c r="E307" s="28" t="s">
        <v>394</v>
      </c>
      <c r="F307" s="28" t="s">
        <v>984</v>
      </c>
      <c r="G307" s="29"/>
      <c r="H307" s="30">
        <v>63754</v>
      </c>
      <c r="I307" s="28" t="str">
        <f>VLOOKUP('S&amp;P 500'!$E307,'Converted GISC'!$A$1:$C$159,2,FALSE)</f>
        <v>Food Products</v>
      </c>
    </row>
    <row r="308" spans="1:9" x14ac:dyDescent="0.25">
      <c r="A308" s="25" t="s">
        <v>985</v>
      </c>
      <c r="B308" s="25" t="s">
        <v>986</v>
      </c>
      <c r="C308" s="25" t="s">
        <v>106</v>
      </c>
      <c r="D308" s="25" t="s">
        <v>72</v>
      </c>
      <c r="E308" s="25" t="s">
        <v>456</v>
      </c>
      <c r="F308" s="25" t="s">
        <v>987</v>
      </c>
      <c r="G308" s="26">
        <v>25749</v>
      </c>
      <c r="H308" s="27">
        <v>63908</v>
      </c>
      <c r="I308" s="25" t="str">
        <f>VLOOKUP('S&amp;P 500'!$E308,'Converted GISC'!$A$1:$C$159,2,FALSE)</f>
        <v>Hotels, Restaurants &amp; Leisure</v>
      </c>
    </row>
    <row r="309" spans="1:9" x14ac:dyDescent="0.25">
      <c r="A309" s="28" t="s">
        <v>988</v>
      </c>
      <c r="B309" s="28" t="s">
        <v>989</v>
      </c>
      <c r="C309" s="28" t="s">
        <v>106</v>
      </c>
      <c r="D309" s="28" t="s">
        <v>76</v>
      </c>
      <c r="E309" s="28" t="s">
        <v>233</v>
      </c>
      <c r="F309" s="28" t="s">
        <v>442</v>
      </c>
      <c r="G309" s="29"/>
      <c r="H309" s="30">
        <v>927653</v>
      </c>
      <c r="I309" s="28" t="str">
        <f>VLOOKUP('S&amp;P 500'!$E309,'Converted GISC'!$A$1:$C$159,2,FALSE)</f>
        <v>Health Care Providers &amp; Services</v>
      </c>
    </row>
    <row r="310" spans="1:9" x14ac:dyDescent="0.25">
      <c r="A310" s="25" t="s">
        <v>990</v>
      </c>
      <c r="B310" s="25" t="s">
        <v>991</v>
      </c>
      <c r="C310" s="25" t="s">
        <v>106</v>
      </c>
      <c r="D310" s="25" t="s">
        <v>76</v>
      </c>
      <c r="E310" s="25" t="s">
        <v>110</v>
      </c>
      <c r="F310" s="25" t="s">
        <v>117</v>
      </c>
      <c r="G310" s="26">
        <v>31716</v>
      </c>
      <c r="H310" s="27">
        <v>64670</v>
      </c>
      <c r="I310" s="25" t="str">
        <f>VLOOKUP('S&amp;P 500'!$E310,'Converted GISC'!$A$1:$C$159,2,FALSE)</f>
        <v>Health Care Equipment &amp; Supplies</v>
      </c>
    </row>
    <row r="311" spans="1:9" x14ac:dyDescent="0.25">
      <c r="A311" s="28" t="s">
        <v>992</v>
      </c>
      <c r="B311" s="28" t="s">
        <v>993</v>
      </c>
      <c r="C311" s="28" t="s">
        <v>106</v>
      </c>
      <c r="D311" s="28" t="s">
        <v>76</v>
      </c>
      <c r="E311" s="28" t="s">
        <v>41</v>
      </c>
      <c r="F311" s="28" t="s">
        <v>994</v>
      </c>
      <c r="G311" s="29"/>
      <c r="H311" s="30">
        <v>310158</v>
      </c>
      <c r="I311" s="28" t="str">
        <f>VLOOKUP('S&amp;P 500'!$E311,'Converted GISC'!$A$1:$C$159,2,FALSE)</f>
        <v>Pharmaceuticals</v>
      </c>
    </row>
    <row r="312" spans="1:9" x14ac:dyDescent="0.25">
      <c r="A312" s="25" t="s">
        <v>995</v>
      </c>
      <c r="B312" s="25" t="s">
        <v>996</v>
      </c>
      <c r="C312" s="25" t="s">
        <v>106</v>
      </c>
      <c r="D312" s="25" t="s">
        <v>75</v>
      </c>
      <c r="E312" s="25" t="s">
        <v>152</v>
      </c>
      <c r="F312" s="25" t="s">
        <v>218</v>
      </c>
      <c r="G312" s="26"/>
      <c r="H312" s="27">
        <v>1099219</v>
      </c>
      <c r="I312" s="25" t="str">
        <f>VLOOKUP('S&amp;P 500'!$E312,'Converted GISC'!$A$1:$C$159,2,FALSE)</f>
        <v>Insurance</v>
      </c>
    </row>
    <row r="313" spans="1:9" x14ac:dyDescent="0.25">
      <c r="A313" s="28" t="s">
        <v>997</v>
      </c>
      <c r="B313" s="28" t="s">
        <v>998</v>
      </c>
      <c r="C313" s="28" t="s">
        <v>106</v>
      </c>
      <c r="D313" s="28" t="s">
        <v>76</v>
      </c>
      <c r="E313" s="28" t="s">
        <v>40</v>
      </c>
      <c r="F313" s="28" t="s">
        <v>215</v>
      </c>
      <c r="G313" s="29">
        <v>42619</v>
      </c>
      <c r="H313" s="30">
        <v>1037646</v>
      </c>
      <c r="I313" s="28" t="str">
        <f>VLOOKUP('S&amp;P 500'!$E313,'Converted GISC'!$A$1:$C$159,2,FALSE)</f>
        <v>Life Sciences Tools &amp; Services</v>
      </c>
    </row>
    <row r="314" spans="1:9" x14ac:dyDescent="0.25">
      <c r="A314" s="25" t="s">
        <v>999</v>
      </c>
      <c r="B314" s="25" t="s">
        <v>1000</v>
      </c>
      <c r="C314" s="25" t="s">
        <v>106</v>
      </c>
      <c r="D314" s="25" t="s">
        <v>72</v>
      </c>
      <c r="E314" s="25" t="s">
        <v>1001</v>
      </c>
      <c r="F314" s="25" t="s">
        <v>1002</v>
      </c>
      <c r="G314" s="26">
        <v>42942</v>
      </c>
      <c r="H314" s="27">
        <v>789570</v>
      </c>
      <c r="I314" s="25" t="str">
        <f>VLOOKUP('S&amp;P 500'!$E314,'Converted GISC'!$A$1:$C$159,2,FALSE)</f>
        <v>Hotels, Restaurants &amp; Leisure</v>
      </c>
    </row>
    <row r="315" spans="1:9" x14ac:dyDescent="0.25">
      <c r="A315" s="28" t="s">
        <v>1003</v>
      </c>
      <c r="B315" s="28" t="s">
        <v>1004</v>
      </c>
      <c r="C315" s="28" t="s">
        <v>106</v>
      </c>
      <c r="D315" s="28" t="s">
        <v>72</v>
      </c>
      <c r="E315" s="28" t="s">
        <v>772</v>
      </c>
      <c r="F315" s="28" t="s">
        <v>218</v>
      </c>
      <c r="G315" s="29">
        <v>41591</v>
      </c>
      <c r="H315" s="30">
        <v>1530721</v>
      </c>
      <c r="I315" s="28" t="str">
        <f>VLOOKUP('S&amp;P 500'!$E315,'Converted GISC'!$A$1:$C$159,2,FALSE)</f>
        <v>Textiles, Apparel &amp; Luxury Goods</v>
      </c>
    </row>
    <row r="316" spans="1:9" x14ac:dyDescent="0.25">
      <c r="A316" s="25" t="s">
        <v>1005</v>
      </c>
      <c r="B316" s="25" t="s">
        <v>1006</v>
      </c>
      <c r="C316" s="25" t="s">
        <v>106</v>
      </c>
      <c r="D316" s="25" t="s">
        <v>78</v>
      </c>
      <c r="E316" s="25" t="s">
        <v>132</v>
      </c>
      <c r="F316" s="25" t="s">
        <v>1007</v>
      </c>
      <c r="G316" s="26">
        <v>39332</v>
      </c>
      <c r="H316" s="27">
        <v>827054</v>
      </c>
      <c r="I316" s="25" t="str">
        <f>VLOOKUP('S&amp;P 500'!$E316,'Converted GISC'!$A$1:$C$159,2,FALSE)</f>
        <v>Semiconductors &amp; Semiconductor Equipment</v>
      </c>
    </row>
    <row r="317" spans="1:9" x14ac:dyDescent="0.25">
      <c r="A317" s="28" t="s">
        <v>1008</v>
      </c>
      <c r="B317" s="28" t="s">
        <v>1009</v>
      </c>
      <c r="C317" s="28" t="s">
        <v>106</v>
      </c>
      <c r="D317" s="28" t="s">
        <v>78</v>
      </c>
      <c r="E317" s="28" t="s">
        <v>132</v>
      </c>
      <c r="F317" s="28" t="s">
        <v>1010</v>
      </c>
      <c r="G317" s="29">
        <v>34604</v>
      </c>
      <c r="H317" s="30">
        <v>723125</v>
      </c>
      <c r="I317" s="28" t="str">
        <f>VLOOKUP('S&amp;P 500'!$E317,'Converted GISC'!$A$1:$C$159,2,FALSE)</f>
        <v>Semiconductors &amp; Semiconductor Equipment</v>
      </c>
    </row>
    <row r="318" spans="1:9" x14ac:dyDescent="0.25">
      <c r="A318" s="25" t="s">
        <v>1011</v>
      </c>
      <c r="B318" s="25" t="s">
        <v>1012</v>
      </c>
      <c r="C318" s="25" t="s">
        <v>106</v>
      </c>
      <c r="D318" s="25" t="s">
        <v>78</v>
      </c>
      <c r="E318" s="25" t="s">
        <v>386</v>
      </c>
      <c r="F318" s="25" t="s">
        <v>1013</v>
      </c>
      <c r="G318" s="26">
        <v>34486</v>
      </c>
      <c r="H318" s="27">
        <v>789019</v>
      </c>
      <c r="I318" s="25" t="str">
        <f>VLOOKUP('S&amp;P 500'!$E318,'Converted GISC'!$A$1:$C$159,2,FALSE)</f>
        <v>Software</v>
      </c>
    </row>
    <row r="319" spans="1:9" x14ac:dyDescent="0.25">
      <c r="A319" s="28" t="s">
        <v>1014</v>
      </c>
      <c r="B319" s="28" t="s">
        <v>1015</v>
      </c>
      <c r="C319" s="28" t="s">
        <v>106</v>
      </c>
      <c r="D319" s="28" t="s">
        <v>80</v>
      </c>
      <c r="E319" s="28" t="s">
        <v>274</v>
      </c>
      <c r="F319" s="28" t="s">
        <v>311</v>
      </c>
      <c r="G319" s="29">
        <v>42706</v>
      </c>
      <c r="H319" s="30">
        <v>912595</v>
      </c>
      <c r="I319" s="28" t="str">
        <f>VLOOKUP('S&amp;P 500'!$E319,'Converted GISC'!$A$1:$C$159,2,FALSE)</f>
        <v>Equity Real Estate Investment Trusts (REITs)</v>
      </c>
    </row>
    <row r="320" spans="1:9" x14ac:dyDescent="0.25">
      <c r="A320" s="25" t="s">
        <v>1016</v>
      </c>
      <c r="B320" s="25" t="s">
        <v>1017</v>
      </c>
      <c r="C320" s="25" t="s">
        <v>106</v>
      </c>
      <c r="D320" s="25" t="s">
        <v>72</v>
      </c>
      <c r="E320" s="25" t="s">
        <v>930</v>
      </c>
      <c r="F320" s="25" t="s">
        <v>1018</v>
      </c>
      <c r="G320" s="26">
        <v>41631</v>
      </c>
      <c r="H320" s="27">
        <v>851968</v>
      </c>
      <c r="I320" s="25" t="str">
        <f>VLOOKUP('S&amp;P 500'!$E320,'Converted GISC'!$A$1:$C$159,2,FALSE)</f>
        <v>Household Durables</v>
      </c>
    </row>
    <row r="321" spans="1:9" x14ac:dyDescent="0.25">
      <c r="A321" s="28" t="s">
        <v>1019</v>
      </c>
      <c r="B321" s="28" t="s">
        <v>1020</v>
      </c>
      <c r="C321" s="28" t="s">
        <v>106</v>
      </c>
      <c r="D321" s="28" t="s">
        <v>73</v>
      </c>
      <c r="E321" s="28" t="s">
        <v>1021</v>
      </c>
      <c r="F321" s="28" t="s">
        <v>275</v>
      </c>
      <c r="G321" s="29">
        <v>27941</v>
      </c>
      <c r="H321" s="30">
        <v>24545</v>
      </c>
      <c r="I321" s="28" t="str">
        <f>VLOOKUP('S&amp;P 500'!$E321,'Converted GISC'!$A$1:$C$159,2,FALSE)</f>
        <v>Beverages</v>
      </c>
    </row>
    <row r="322" spans="1:9" x14ac:dyDescent="0.25">
      <c r="A322" s="25" t="s">
        <v>1022</v>
      </c>
      <c r="B322" s="25" t="s">
        <v>1023</v>
      </c>
      <c r="C322" s="25" t="s">
        <v>106</v>
      </c>
      <c r="D322" s="25" t="s">
        <v>73</v>
      </c>
      <c r="E322" s="25" t="s">
        <v>394</v>
      </c>
      <c r="F322" s="25" t="s">
        <v>1024</v>
      </c>
      <c r="G322" s="26">
        <v>41184</v>
      </c>
      <c r="H322" s="27">
        <v>1103982</v>
      </c>
      <c r="I322" s="25" t="str">
        <f>VLOOKUP('S&amp;P 500'!$E322,'Converted GISC'!$A$1:$C$159,2,FALSE)</f>
        <v>Food Products</v>
      </c>
    </row>
    <row r="323" spans="1:9" x14ac:dyDescent="0.25">
      <c r="A323" s="28" t="s">
        <v>1025</v>
      </c>
      <c r="B323" s="28" t="s">
        <v>1026</v>
      </c>
      <c r="C323" s="28" t="s">
        <v>106</v>
      </c>
      <c r="D323" s="28" t="s">
        <v>79</v>
      </c>
      <c r="E323" s="28" t="s">
        <v>438</v>
      </c>
      <c r="F323" s="28" t="s">
        <v>1027</v>
      </c>
      <c r="G323" s="29">
        <v>37475</v>
      </c>
      <c r="H323" s="30">
        <v>1110783</v>
      </c>
      <c r="I323" s="28" t="str">
        <f>VLOOKUP('S&amp;P 500'!$E323,'Converted GISC'!$A$1:$C$159,2,FALSE)</f>
        <v>Chemicals</v>
      </c>
    </row>
    <row r="324" spans="1:9" x14ac:dyDescent="0.25">
      <c r="A324" s="25" t="s">
        <v>1028</v>
      </c>
      <c r="B324" s="25" t="s">
        <v>1029</v>
      </c>
      <c r="C324" s="25" t="s">
        <v>106</v>
      </c>
      <c r="D324" s="25" t="s">
        <v>73</v>
      </c>
      <c r="E324" s="25" t="s">
        <v>495</v>
      </c>
      <c r="F324" s="25" t="s">
        <v>1030</v>
      </c>
      <c r="G324" s="26">
        <v>41088</v>
      </c>
      <c r="H324" s="27">
        <v>865752</v>
      </c>
      <c r="I324" s="25" t="str">
        <f>VLOOKUP('S&amp;P 500'!$E324,'Converted GISC'!$A$1:$C$159,2,FALSE)</f>
        <v>Beverages</v>
      </c>
    </row>
    <row r="325" spans="1:9" x14ac:dyDescent="0.25">
      <c r="A325" s="28" t="s">
        <v>1031</v>
      </c>
      <c r="B325" s="28" t="s">
        <v>1032</v>
      </c>
      <c r="C325" s="28" t="s">
        <v>106</v>
      </c>
      <c r="D325" s="28" t="s">
        <v>75</v>
      </c>
      <c r="E325" s="28" t="s">
        <v>404</v>
      </c>
      <c r="F325" s="28" t="s">
        <v>218</v>
      </c>
      <c r="G325" s="29"/>
      <c r="H325" s="30">
        <v>1059556</v>
      </c>
      <c r="I325" s="28" t="str">
        <f>VLOOKUP('S&amp;P 500'!$E325,'Converted GISC'!$A$1:$C$159,2,FALSE)</f>
        <v>Capital Markets</v>
      </c>
    </row>
    <row r="326" spans="1:9" x14ac:dyDescent="0.25">
      <c r="A326" s="25" t="s">
        <v>1033</v>
      </c>
      <c r="B326" s="25" t="s">
        <v>1034</v>
      </c>
      <c r="C326" s="25" t="s">
        <v>106</v>
      </c>
      <c r="D326" s="25" t="s">
        <v>75</v>
      </c>
      <c r="E326" s="25" t="s">
        <v>441</v>
      </c>
      <c r="F326" s="25" t="s">
        <v>218</v>
      </c>
      <c r="G326" s="26"/>
      <c r="H326" s="27">
        <v>895421</v>
      </c>
      <c r="I326" s="25" t="str">
        <f>VLOOKUP('S&amp;P 500'!$E326,'Converted GISC'!$A$1:$C$159,2,FALSE)</f>
        <v>Capital Markets</v>
      </c>
    </row>
    <row r="327" spans="1:9" x14ac:dyDescent="0.25">
      <c r="A327" s="28" t="s">
        <v>1035</v>
      </c>
      <c r="B327" s="28" t="s">
        <v>1036</v>
      </c>
      <c r="C327" s="28" t="s">
        <v>106</v>
      </c>
      <c r="D327" s="28" t="s">
        <v>79</v>
      </c>
      <c r="E327" s="28" t="s">
        <v>438</v>
      </c>
      <c r="F327" s="28" t="s">
        <v>1037</v>
      </c>
      <c r="G327" s="29">
        <v>40812</v>
      </c>
      <c r="H327" s="30">
        <v>1285785</v>
      </c>
      <c r="I327" s="28" t="str">
        <f>VLOOKUP('S&amp;P 500'!$E327,'Converted GISC'!$A$1:$C$159,2,FALSE)</f>
        <v>Chemicals</v>
      </c>
    </row>
    <row r="328" spans="1:9" x14ac:dyDescent="0.25">
      <c r="A328" s="25" t="s">
        <v>1038</v>
      </c>
      <c r="B328" s="25" t="s">
        <v>1039</v>
      </c>
      <c r="C328" s="25" t="s">
        <v>106</v>
      </c>
      <c r="D328" s="25" t="s">
        <v>78</v>
      </c>
      <c r="E328" s="25" t="s">
        <v>56</v>
      </c>
      <c r="F328" s="25" t="s">
        <v>1040</v>
      </c>
      <c r="G328" s="26"/>
      <c r="H328" s="27">
        <v>68505</v>
      </c>
      <c r="I328" s="25" t="str">
        <f>VLOOKUP('S&amp;P 500'!$E328,'Converted GISC'!$A$1:$C$159,2,FALSE)</f>
        <v>Communications Equipment</v>
      </c>
    </row>
    <row r="329" spans="1:9" x14ac:dyDescent="0.25">
      <c r="A329" s="28" t="s">
        <v>1041</v>
      </c>
      <c r="B329" s="28" t="s">
        <v>1042</v>
      </c>
      <c r="C329" s="28" t="s">
        <v>106</v>
      </c>
      <c r="D329" s="28" t="s">
        <v>76</v>
      </c>
      <c r="E329" s="28" t="s">
        <v>41</v>
      </c>
      <c r="F329" s="28" t="s">
        <v>1043</v>
      </c>
      <c r="G329" s="29">
        <v>38100</v>
      </c>
      <c r="H329" s="30">
        <v>69499</v>
      </c>
      <c r="I329" s="28" t="str">
        <f>VLOOKUP('S&amp;P 500'!$E329,'Converted GISC'!$A$1:$C$159,2,FALSE)</f>
        <v>Pharmaceuticals</v>
      </c>
    </row>
    <row r="330" spans="1:9" x14ac:dyDescent="0.25">
      <c r="A330" s="25" t="s">
        <v>1044</v>
      </c>
      <c r="B330" s="25" t="s">
        <v>1045</v>
      </c>
      <c r="C330" s="25" t="s">
        <v>106</v>
      </c>
      <c r="D330" s="25" t="s">
        <v>75</v>
      </c>
      <c r="E330" s="25" t="s">
        <v>404</v>
      </c>
      <c r="F330" s="25" t="s">
        <v>218</v>
      </c>
      <c r="G330" s="26">
        <v>39743</v>
      </c>
      <c r="H330" s="27">
        <v>1120193</v>
      </c>
      <c r="I330" s="25" t="str">
        <f>VLOOKUP('S&amp;P 500'!$E330,'Converted GISC'!$A$1:$C$159,2,FALSE)</f>
        <v>Capital Markets</v>
      </c>
    </row>
    <row r="331" spans="1:9" x14ac:dyDescent="0.25">
      <c r="A331" s="28" t="s">
        <v>1046</v>
      </c>
      <c r="B331" s="28" t="s">
        <v>1047</v>
      </c>
      <c r="C331" s="28" t="s">
        <v>106</v>
      </c>
      <c r="D331" s="28" t="s">
        <v>74</v>
      </c>
      <c r="E331" s="28" t="s">
        <v>320</v>
      </c>
      <c r="F331" s="28" t="s">
        <v>271</v>
      </c>
      <c r="G331" s="29">
        <v>38425</v>
      </c>
      <c r="H331" s="30">
        <v>1021860</v>
      </c>
      <c r="I331" s="28" t="str">
        <f>VLOOKUP('S&amp;P 500'!$E331,'Converted GISC'!$A$1:$C$159,2,FALSE)</f>
        <v>Energy Equipment &amp; Services</v>
      </c>
    </row>
    <row r="332" spans="1:9" x14ac:dyDescent="0.25">
      <c r="A332" s="25" t="s">
        <v>1048</v>
      </c>
      <c r="B332" s="25" t="s">
        <v>1049</v>
      </c>
      <c r="C332" s="25" t="s">
        <v>106</v>
      </c>
      <c r="D332" s="25" t="s">
        <v>75</v>
      </c>
      <c r="E332" s="25" t="s">
        <v>0</v>
      </c>
      <c r="F332" s="25" t="s">
        <v>852</v>
      </c>
      <c r="G332" s="26">
        <v>41760</v>
      </c>
      <c r="H332" s="27">
        <v>1593538</v>
      </c>
      <c r="I332" s="25" t="str">
        <f>VLOOKUP('S&amp;P 500'!$E332,'Converted GISC'!$A$1:$C$159,2,FALSE)</f>
        <v>Consumer Finance</v>
      </c>
    </row>
    <row r="333" spans="1:9" x14ac:dyDescent="0.25">
      <c r="A333" s="28" t="s">
        <v>1050</v>
      </c>
      <c r="B333" s="28" t="s">
        <v>1051</v>
      </c>
      <c r="C333" s="28" t="s">
        <v>106</v>
      </c>
      <c r="D333" s="28" t="s">
        <v>78</v>
      </c>
      <c r="E333" s="28" t="s">
        <v>59</v>
      </c>
      <c r="F333" s="28" t="s">
        <v>133</v>
      </c>
      <c r="G333" s="29">
        <v>36336</v>
      </c>
      <c r="H333" s="30">
        <v>1002047</v>
      </c>
      <c r="I333" s="28" t="str">
        <f>VLOOKUP('S&amp;P 500'!$E333,'Converted GISC'!$A$1:$C$159,2,FALSE)</f>
        <v>Internet Software &amp; Services</v>
      </c>
    </row>
    <row r="334" spans="1:9" x14ac:dyDescent="0.25">
      <c r="A334" s="25" t="s">
        <v>1052</v>
      </c>
      <c r="B334" s="25" t="s">
        <v>1053</v>
      </c>
      <c r="C334" s="25" t="s">
        <v>106</v>
      </c>
      <c r="D334" s="25" t="s">
        <v>78</v>
      </c>
      <c r="E334" s="25" t="s">
        <v>59</v>
      </c>
      <c r="F334" s="25" t="s">
        <v>1054</v>
      </c>
      <c r="G334" s="26">
        <v>40532</v>
      </c>
      <c r="H334" s="27">
        <v>1065280</v>
      </c>
      <c r="I334" s="25" t="str">
        <f>VLOOKUP('S&amp;P 500'!$E334,'Converted GISC'!$A$1:$C$159,2,FALSE)</f>
        <v>Internet Software &amp; Services</v>
      </c>
    </row>
    <row r="335" spans="1:9" x14ac:dyDescent="0.25">
      <c r="A335" s="28" t="s">
        <v>1055</v>
      </c>
      <c r="B335" s="28" t="s">
        <v>1056</v>
      </c>
      <c r="C335" s="28" t="s">
        <v>106</v>
      </c>
      <c r="D335" s="28" t="s">
        <v>72</v>
      </c>
      <c r="E335" s="28" t="s">
        <v>1057</v>
      </c>
      <c r="F335" s="28" t="s">
        <v>1058</v>
      </c>
      <c r="G335" s="29">
        <v>32628</v>
      </c>
      <c r="H335" s="30">
        <v>814453</v>
      </c>
      <c r="I335" s="28" t="str">
        <f>VLOOKUP('S&amp;P 500'!$E335,'Converted GISC'!$A$1:$C$159,2,FALSE)</f>
        <v>Household Durables</v>
      </c>
    </row>
    <row r="336" spans="1:9" x14ac:dyDescent="0.25">
      <c r="A336" s="25" t="s">
        <v>1059</v>
      </c>
      <c r="B336" s="25" t="s">
        <v>1060</v>
      </c>
      <c r="C336" s="25" t="s">
        <v>106</v>
      </c>
      <c r="D336" s="25" t="s">
        <v>74</v>
      </c>
      <c r="E336" s="25" t="s">
        <v>247</v>
      </c>
      <c r="F336" s="25" t="s">
        <v>271</v>
      </c>
      <c r="G336" s="26">
        <v>40532</v>
      </c>
      <c r="H336" s="27">
        <v>912750</v>
      </c>
      <c r="I336" s="25" t="str">
        <f>VLOOKUP('S&amp;P 500'!$E336,'Converted GISC'!$A$1:$C$159,2,FALSE)</f>
        <v>Oil, Gas &amp; Consumable Fuels</v>
      </c>
    </row>
    <row r="337" spans="1:9" x14ac:dyDescent="0.25">
      <c r="A337" s="28" t="s">
        <v>1061</v>
      </c>
      <c r="B337" s="28" t="s">
        <v>1062</v>
      </c>
      <c r="C337" s="28" t="s">
        <v>106</v>
      </c>
      <c r="D337" s="28" t="s">
        <v>79</v>
      </c>
      <c r="E337" s="28" t="s">
        <v>1063</v>
      </c>
      <c r="F337" s="28" t="s">
        <v>275</v>
      </c>
      <c r="G337" s="29">
        <v>25384</v>
      </c>
      <c r="H337" s="30">
        <v>1164727</v>
      </c>
      <c r="I337" s="28" t="str">
        <f>VLOOKUP('S&amp;P 500'!$E337,'Converted GISC'!$A$1:$C$159,2,FALSE)</f>
        <v>Metals &amp; Mining</v>
      </c>
    </row>
    <row r="338" spans="1:9" x14ac:dyDescent="0.25">
      <c r="A338" s="25" t="s">
        <v>1064</v>
      </c>
      <c r="B338" s="25" t="s">
        <v>1065</v>
      </c>
      <c r="C338" s="25" t="s">
        <v>106</v>
      </c>
      <c r="D338" s="25" t="s">
        <v>72</v>
      </c>
      <c r="E338" s="25" t="s">
        <v>1066</v>
      </c>
      <c r="F338" s="25" t="s">
        <v>218</v>
      </c>
      <c r="G338" s="26">
        <v>41487</v>
      </c>
      <c r="H338" s="27">
        <v>1564708</v>
      </c>
      <c r="I338" s="25" t="str">
        <f>VLOOKUP('S&amp;P 500'!$E338,'Converted GISC'!$A$1:$C$159,2,FALSE)</f>
        <v>Media</v>
      </c>
    </row>
    <row r="339" spans="1:9" x14ac:dyDescent="0.25">
      <c r="A339" s="28" t="s">
        <v>1067</v>
      </c>
      <c r="B339" s="28" t="s">
        <v>1068</v>
      </c>
      <c r="C339" s="28" t="s">
        <v>106</v>
      </c>
      <c r="D339" s="28" t="s">
        <v>72</v>
      </c>
      <c r="E339" s="28" t="s">
        <v>1066</v>
      </c>
      <c r="F339" s="28" t="s">
        <v>218</v>
      </c>
      <c r="G339" s="29">
        <v>42265</v>
      </c>
      <c r="H339" s="30">
        <v>1564708</v>
      </c>
      <c r="I339" s="28" t="str">
        <f>VLOOKUP('S&amp;P 500'!$E339,'Converted GISC'!$A$1:$C$159,2,FALSE)</f>
        <v>Media</v>
      </c>
    </row>
    <row r="340" spans="1:9" x14ac:dyDescent="0.25">
      <c r="A340" s="25" t="s">
        <v>1069</v>
      </c>
      <c r="B340" s="25" t="s">
        <v>1070</v>
      </c>
      <c r="C340" s="25" t="s">
        <v>106</v>
      </c>
      <c r="D340" s="25" t="s">
        <v>82</v>
      </c>
      <c r="E340" s="25" t="s">
        <v>14</v>
      </c>
      <c r="F340" s="25" t="s">
        <v>1071</v>
      </c>
      <c r="G340" s="26">
        <v>27941</v>
      </c>
      <c r="H340" s="27">
        <v>753308</v>
      </c>
      <c r="I340" s="25" t="str">
        <f>VLOOKUP('S&amp;P 500'!$E340,'Converted GISC'!$A$1:$C$159,2,FALSE)</f>
        <v>Multi-Utilities</v>
      </c>
    </row>
    <row r="341" spans="1:9" x14ac:dyDescent="0.25">
      <c r="A341" s="28" t="s">
        <v>1072</v>
      </c>
      <c r="B341" s="28" t="s">
        <v>1073</v>
      </c>
      <c r="C341" s="28" t="s">
        <v>106</v>
      </c>
      <c r="D341" s="28" t="s">
        <v>77</v>
      </c>
      <c r="E341" s="28" t="s">
        <v>647</v>
      </c>
      <c r="F341" s="28" t="s">
        <v>218</v>
      </c>
      <c r="G341" s="29">
        <v>41464</v>
      </c>
      <c r="H341" s="30">
        <v>1492633</v>
      </c>
      <c r="I341" s="28" t="str">
        <f>VLOOKUP('S&amp;P 500'!$E341,'Converted GISC'!$A$1:$C$159,2,FALSE)</f>
        <v>Professional Services</v>
      </c>
    </row>
    <row r="342" spans="1:9" x14ac:dyDescent="0.25">
      <c r="A342" s="25" t="s">
        <v>1074</v>
      </c>
      <c r="B342" s="25" t="s">
        <v>1075</v>
      </c>
      <c r="C342" s="25" t="s">
        <v>106</v>
      </c>
      <c r="D342" s="25" t="s">
        <v>72</v>
      </c>
      <c r="E342" s="25" t="s">
        <v>772</v>
      </c>
      <c r="F342" s="25" t="s">
        <v>1076</v>
      </c>
      <c r="G342" s="26">
        <v>32477</v>
      </c>
      <c r="H342" s="27">
        <v>320187</v>
      </c>
      <c r="I342" s="25" t="str">
        <f>VLOOKUP('S&amp;P 500'!$E342,'Converted GISC'!$A$1:$C$159,2,FALSE)</f>
        <v>Textiles, Apparel &amp; Luxury Goods</v>
      </c>
    </row>
    <row r="343" spans="1:9" x14ac:dyDescent="0.25">
      <c r="A343" s="28" t="s">
        <v>1077</v>
      </c>
      <c r="B343" s="28" t="s">
        <v>1078</v>
      </c>
      <c r="C343" s="28" t="s">
        <v>106</v>
      </c>
      <c r="D343" s="28" t="s">
        <v>82</v>
      </c>
      <c r="E343" s="28" t="s">
        <v>14</v>
      </c>
      <c r="F343" s="28" t="s">
        <v>1079</v>
      </c>
      <c r="G343" s="29"/>
      <c r="H343" s="30">
        <v>1111711</v>
      </c>
      <c r="I343" s="28" t="str">
        <f>VLOOKUP('S&amp;P 500'!$E343,'Converted GISC'!$A$1:$C$159,2,FALSE)</f>
        <v>Multi-Utilities</v>
      </c>
    </row>
    <row r="344" spans="1:9" x14ac:dyDescent="0.25">
      <c r="A344" s="25" t="s">
        <v>1080</v>
      </c>
      <c r="B344" s="25" t="s">
        <v>1081</v>
      </c>
      <c r="C344" s="25" t="s">
        <v>106</v>
      </c>
      <c r="D344" s="25" t="s">
        <v>74</v>
      </c>
      <c r="E344" s="25" t="s">
        <v>247</v>
      </c>
      <c r="F344" s="25" t="s">
        <v>271</v>
      </c>
      <c r="G344" s="26">
        <v>39363</v>
      </c>
      <c r="H344" s="27">
        <v>72207</v>
      </c>
      <c r="I344" s="25" t="str">
        <f>VLOOKUP('S&amp;P 500'!$E344,'Converted GISC'!$A$1:$C$159,2,FALSE)</f>
        <v>Oil, Gas &amp; Consumable Fuels</v>
      </c>
    </row>
    <row r="345" spans="1:9" x14ac:dyDescent="0.25">
      <c r="A345" s="28" t="s">
        <v>1082</v>
      </c>
      <c r="B345" s="28" t="s">
        <v>1083</v>
      </c>
      <c r="C345" s="28" t="s">
        <v>106</v>
      </c>
      <c r="D345" s="28" t="s">
        <v>72</v>
      </c>
      <c r="E345" s="28" t="s">
        <v>960</v>
      </c>
      <c r="F345" s="28" t="s">
        <v>166</v>
      </c>
      <c r="G345" s="29">
        <v>31655</v>
      </c>
      <c r="H345" s="30">
        <v>72333</v>
      </c>
      <c r="I345" s="28" t="str">
        <f>VLOOKUP('S&amp;P 500'!$E345,'Converted GISC'!$A$1:$C$159,2,FALSE)</f>
        <v>Multiline Retail</v>
      </c>
    </row>
    <row r="346" spans="1:9" x14ac:dyDescent="0.25">
      <c r="A346" s="25" t="s">
        <v>1084</v>
      </c>
      <c r="B346" s="25" t="s">
        <v>1085</v>
      </c>
      <c r="C346" s="25" t="s">
        <v>106</v>
      </c>
      <c r="D346" s="25" t="s">
        <v>77</v>
      </c>
      <c r="E346" s="25" t="s">
        <v>536</v>
      </c>
      <c r="F346" s="25" t="s">
        <v>1086</v>
      </c>
      <c r="G346" s="26"/>
      <c r="H346" s="27">
        <v>702165</v>
      </c>
      <c r="I346" s="25" t="str">
        <f>VLOOKUP('S&amp;P 500'!$E346,'Converted GISC'!$A$1:$C$159,2,FALSE)</f>
        <v>Road &amp; Rail</v>
      </c>
    </row>
    <row r="347" spans="1:9" x14ac:dyDescent="0.25">
      <c r="A347" s="28" t="s">
        <v>1087</v>
      </c>
      <c r="B347" s="28" t="s">
        <v>1088</v>
      </c>
      <c r="C347" s="28" t="s">
        <v>106</v>
      </c>
      <c r="D347" s="28" t="s">
        <v>75</v>
      </c>
      <c r="E347" s="28" t="s">
        <v>148</v>
      </c>
      <c r="F347" s="28" t="s">
        <v>359</v>
      </c>
      <c r="G347" s="29"/>
      <c r="H347" s="30">
        <v>73124</v>
      </c>
      <c r="I347" s="28" t="str">
        <f>VLOOKUP('S&amp;P 500'!$E347,'Converted GISC'!$A$1:$C$159,2,FALSE)</f>
        <v>Capital Markets</v>
      </c>
    </row>
    <row r="348" spans="1:9" x14ac:dyDescent="0.25">
      <c r="A348" s="25" t="s">
        <v>1089</v>
      </c>
      <c r="B348" s="25" t="s">
        <v>1090</v>
      </c>
      <c r="C348" s="25" t="s">
        <v>106</v>
      </c>
      <c r="D348" s="25" t="s">
        <v>77</v>
      </c>
      <c r="E348" s="25" t="s">
        <v>42</v>
      </c>
      <c r="F348" s="25" t="s">
        <v>1091</v>
      </c>
      <c r="G348" s="26">
        <v>31228</v>
      </c>
      <c r="H348" s="27">
        <v>1133421</v>
      </c>
      <c r="I348" s="25" t="str">
        <f>VLOOKUP('S&amp;P 500'!$E348,'Converted GISC'!$A$1:$C$159,2,FALSE)</f>
        <v>Aerospace &amp; Defense</v>
      </c>
    </row>
    <row r="349" spans="1:9" x14ac:dyDescent="0.25">
      <c r="A349" s="28" t="s">
        <v>1092</v>
      </c>
      <c r="B349" s="28" t="s">
        <v>1093</v>
      </c>
      <c r="C349" s="28" t="s">
        <v>106</v>
      </c>
      <c r="D349" s="28" t="s">
        <v>72</v>
      </c>
      <c r="E349" s="28" t="s">
        <v>409</v>
      </c>
      <c r="F349" s="28" t="s">
        <v>410</v>
      </c>
      <c r="G349" s="29">
        <v>43021</v>
      </c>
      <c r="H349" s="30">
        <v>1513761</v>
      </c>
      <c r="I349" s="28" t="str">
        <f>VLOOKUP('S&amp;P 500'!$E349,'Converted GISC'!$A$1:$C$159,2,FALSE)</f>
        <v>Hotels, Restaurants &amp; Leisure</v>
      </c>
    </row>
    <row r="350" spans="1:9" x14ac:dyDescent="0.25">
      <c r="A350" s="25" t="s">
        <v>1094</v>
      </c>
      <c r="B350" s="25" t="s">
        <v>1095</v>
      </c>
      <c r="C350" s="25" t="s">
        <v>106</v>
      </c>
      <c r="D350" s="25" t="s">
        <v>82</v>
      </c>
      <c r="E350" s="25" t="s">
        <v>140</v>
      </c>
      <c r="F350" s="25" t="s">
        <v>1096</v>
      </c>
      <c r="G350" s="26">
        <v>40207</v>
      </c>
      <c r="H350" s="27">
        <v>1013871</v>
      </c>
      <c r="I350" s="25" t="str">
        <f>VLOOKUP('S&amp;P 500'!$E350,'Converted GISC'!$A$1:$C$159,2,FALSE)</f>
        <v>Independent Power and Renewable Electricity Producers</v>
      </c>
    </row>
    <row r="351" spans="1:9" x14ac:dyDescent="0.25">
      <c r="A351" s="28" t="s">
        <v>1097</v>
      </c>
      <c r="B351" s="28" t="s">
        <v>1098</v>
      </c>
      <c r="C351" s="28" t="s">
        <v>106</v>
      </c>
      <c r="D351" s="28" t="s">
        <v>79</v>
      </c>
      <c r="E351" s="28" t="s">
        <v>1099</v>
      </c>
      <c r="F351" s="28" t="s">
        <v>328</v>
      </c>
      <c r="G351" s="29">
        <v>31167</v>
      </c>
      <c r="H351" s="30">
        <v>73309</v>
      </c>
      <c r="I351" s="28" t="str">
        <f>VLOOKUP('S&amp;P 500'!$E351,'Converted GISC'!$A$1:$C$159,2,FALSE)</f>
        <v>Metals &amp; Mining</v>
      </c>
    </row>
    <row r="352" spans="1:9" x14ac:dyDescent="0.25">
      <c r="A352" s="25" t="s">
        <v>1100</v>
      </c>
      <c r="B352" s="25" t="s">
        <v>1101</v>
      </c>
      <c r="C352" s="25" t="s">
        <v>106</v>
      </c>
      <c r="D352" s="25" t="s">
        <v>78</v>
      </c>
      <c r="E352" s="25" t="s">
        <v>132</v>
      </c>
      <c r="F352" s="25" t="s">
        <v>156</v>
      </c>
      <c r="G352" s="26">
        <v>37225</v>
      </c>
      <c r="H352" s="27">
        <v>1045810</v>
      </c>
      <c r="I352" s="25" t="str">
        <f>VLOOKUP('S&amp;P 500'!$E352,'Converted GISC'!$A$1:$C$159,2,FALSE)</f>
        <v>Semiconductors &amp; Semiconductor Equipment</v>
      </c>
    </row>
    <row r="353" spans="1:9" x14ac:dyDescent="0.25">
      <c r="A353" s="28" t="s">
        <v>1102</v>
      </c>
      <c r="B353" s="28" t="s">
        <v>1103</v>
      </c>
      <c r="C353" s="28" t="s">
        <v>106</v>
      </c>
      <c r="D353" s="28" t="s">
        <v>72</v>
      </c>
      <c r="E353" s="28" t="s">
        <v>310</v>
      </c>
      <c r="F353" s="28" t="s">
        <v>1104</v>
      </c>
      <c r="G353" s="29">
        <v>39899</v>
      </c>
      <c r="H353" s="30">
        <v>898173</v>
      </c>
      <c r="I353" s="28" t="str">
        <f>VLOOKUP('S&amp;P 500'!$E353,'Converted GISC'!$A$1:$C$159,2,FALSE)</f>
        <v>Specialty Retail</v>
      </c>
    </row>
    <row r="354" spans="1:9" x14ac:dyDescent="0.25">
      <c r="A354" s="25" t="s">
        <v>1105</v>
      </c>
      <c r="B354" s="25" t="s">
        <v>1106</v>
      </c>
      <c r="C354" s="25" t="s">
        <v>106</v>
      </c>
      <c r="D354" s="25" t="s">
        <v>74</v>
      </c>
      <c r="E354" s="25" t="s">
        <v>247</v>
      </c>
      <c r="F354" s="25" t="s">
        <v>418</v>
      </c>
      <c r="G354" s="26">
        <v>30316</v>
      </c>
      <c r="H354" s="27">
        <v>797468</v>
      </c>
      <c r="I354" s="25" t="str">
        <f>VLOOKUP('S&amp;P 500'!$E354,'Converted GISC'!$A$1:$C$159,2,FALSE)</f>
        <v>Oil, Gas &amp; Consumable Fuels</v>
      </c>
    </row>
    <row r="355" spans="1:9" x14ac:dyDescent="0.25">
      <c r="A355" s="28" t="s">
        <v>1107</v>
      </c>
      <c r="B355" s="28" t="s">
        <v>1108</v>
      </c>
      <c r="C355" s="28" t="s">
        <v>106</v>
      </c>
      <c r="D355" s="28" t="s">
        <v>72</v>
      </c>
      <c r="E355" s="28" t="s">
        <v>857</v>
      </c>
      <c r="F355" s="28" t="s">
        <v>218</v>
      </c>
      <c r="G355" s="29"/>
      <c r="H355" s="30">
        <v>29989</v>
      </c>
      <c r="I355" s="28" t="str">
        <f>VLOOKUP('S&amp;P 500'!$E355,'Converted GISC'!$A$1:$C$159,2,FALSE)</f>
        <v>Media</v>
      </c>
    </row>
    <row r="356" spans="1:9" x14ac:dyDescent="0.25">
      <c r="A356" s="25" t="s">
        <v>1109</v>
      </c>
      <c r="B356" s="25" t="s">
        <v>1110</v>
      </c>
      <c r="C356" s="25" t="s">
        <v>106</v>
      </c>
      <c r="D356" s="25" t="s">
        <v>74</v>
      </c>
      <c r="E356" s="25" t="s">
        <v>906</v>
      </c>
      <c r="F356" s="25" t="s">
        <v>793</v>
      </c>
      <c r="G356" s="26">
        <v>40252</v>
      </c>
      <c r="H356" s="27">
        <v>1039684</v>
      </c>
      <c r="I356" s="25" t="str">
        <f>VLOOKUP('S&amp;P 500'!$E356,'Converted GISC'!$A$1:$C$159,2,FALSE)</f>
        <v>Oil, Gas &amp; Consumable Fuels</v>
      </c>
    </row>
    <row r="357" spans="1:9" x14ac:dyDescent="0.25">
      <c r="A357" s="28" t="s">
        <v>1111</v>
      </c>
      <c r="B357" s="28" t="s">
        <v>1112</v>
      </c>
      <c r="C357" s="28" t="s">
        <v>106</v>
      </c>
      <c r="D357" s="28" t="s">
        <v>78</v>
      </c>
      <c r="E357" s="28" t="s">
        <v>128</v>
      </c>
      <c r="F357" s="28" t="s">
        <v>1113</v>
      </c>
      <c r="G357" s="29">
        <v>32751</v>
      </c>
      <c r="H357" s="30">
        <v>1341439</v>
      </c>
      <c r="I357" s="28" t="str">
        <f>VLOOKUP('S&amp;P 500'!$E357,'Converted GISC'!$A$1:$C$159,2,FALSE)</f>
        <v>Software</v>
      </c>
    </row>
    <row r="358" spans="1:9" x14ac:dyDescent="0.25">
      <c r="A358" s="25" t="s">
        <v>1114</v>
      </c>
      <c r="B358" s="25" t="s">
        <v>1115</v>
      </c>
      <c r="C358" s="25" t="s">
        <v>106</v>
      </c>
      <c r="D358" s="25" t="s">
        <v>77</v>
      </c>
      <c r="E358" s="25" t="s">
        <v>413</v>
      </c>
      <c r="F358" s="25" t="s">
        <v>668</v>
      </c>
      <c r="G358" s="26">
        <v>29586</v>
      </c>
      <c r="H358" s="27">
        <v>75362</v>
      </c>
      <c r="I358" s="25" t="str">
        <f>VLOOKUP('S&amp;P 500'!$E358,'Converted GISC'!$A$1:$C$159,2,FALSE)</f>
        <v>Machinery</v>
      </c>
    </row>
    <row r="359" spans="1:9" x14ac:dyDescent="0.25">
      <c r="A359" s="28" t="s">
        <v>1116</v>
      </c>
      <c r="B359" s="28" t="s">
        <v>1117</v>
      </c>
      <c r="C359" s="28" t="s">
        <v>106</v>
      </c>
      <c r="D359" s="28" t="s">
        <v>79</v>
      </c>
      <c r="E359" s="28" t="s">
        <v>316</v>
      </c>
      <c r="F359" s="28" t="s">
        <v>767</v>
      </c>
      <c r="G359" s="29">
        <v>42942</v>
      </c>
      <c r="H359" s="30">
        <v>75677</v>
      </c>
      <c r="I359" s="28" t="str">
        <f>VLOOKUP('S&amp;P 500'!$E359,'Converted GISC'!$A$1:$C$159,2,FALSE)</f>
        <v>Containers &amp; Packaging</v>
      </c>
    </row>
    <row r="360" spans="1:9" x14ac:dyDescent="0.25">
      <c r="A360" s="25" t="s">
        <v>1118</v>
      </c>
      <c r="B360" s="25" t="s">
        <v>1119</v>
      </c>
      <c r="C360" s="25" t="s">
        <v>106</v>
      </c>
      <c r="D360" s="25" t="s">
        <v>77</v>
      </c>
      <c r="E360" s="25" t="s">
        <v>540</v>
      </c>
      <c r="F360" s="25" t="s">
        <v>898</v>
      </c>
      <c r="G360" s="26">
        <v>31381</v>
      </c>
      <c r="H360" s="27">
        <v>76334</v>
      </c>
      <c r="I360" s="25" t="str">
        <f>VLOOKUP('S&amp;P 500'!$E360,'Converted GISC'!$A$1:$C$159,2,FALSE)</f>
        <v>Machinery</v>
      </c>
    </row>
    <row r="361" spans="1:9" x14ac:dyDescent="0.25">
      <c r="A361" s="28" t="s">
        <v>1120</v>
      </c>
      <c r="B361" s="28" t="s">
        <v>1121</v>
      </c>
      <c r="C361" s="28" t="s">
        <v>106</v>
      </c>
      <c r="D361" s="28" t="s">
        <v>76</v>
      </c>
      <c r="E361" s="28" t="s">
        <v>180</v>
      </c>
      <c r="F361" s="28" t="s">
        <v>107</v>
      </c>
      <c r="G361" s="29">
        <v>38636</v>
      </c>
      <c r="H361" s="30">
        <v>891024</v>
      </c>
      <c r="I361" s="28" t="str">
        <f>VLOOKUP('S&amp;P 500'!$E361,'Converted GISC'!$A$1:$C$159,2,FALSE)</f>
        <v>Health Care Equipment &amp; Supplies</v>
      </c>
    </row>
    <row r="362" spans="1:9" x14ac:dyDescent="0.25">
      <c r="A362" s="25" t="s">
        <v>1122</v>
      </c>
      <c r="B362" s="25" t="s">
        <v>1123</v>
      </c>
      <c r="C362" s="25" t="s">
        <v>106</v>
      </c>
      <c r="D362" s="25" t="s">
        <v>78</v>
      </c>
      <c r="E362" s="25" t="s">
        <v>59</v>
      </c>
      <c r="F362" s="25" t="s">
        <v>1124</v>
      </c>
      <c r="G362" s="26"/>
      <c r="H362" s="27">
        <v>723531</v>
      </c>
      <c r="I362" s="25" t="str">
        <f>VLOOKUP('S&amp;P 500'!$E362,'Converted GISC'!$A$1:$C$159,2,FALSE)</f>
        <v>Internet Software &amp; Services</v>
      </c>
    </row>
    <row r="363" spans="1:9" x14ac:dyDescent="0.25">
      <c r="A363" s="28" t="s">
        <v>1125</v>
      </c>
      <c r="B363" s="28" t="s">
        <v>1126</v>
      </c>
      <c r="C363" s="28" t="s">
        <v>106</v>
      </c>
      <c r="D363" s="28" t="s">
        <v>78</v>
      </c>
      <c r="E363" s="28" t="s">
        <v>187</v>
      </c>
      <c r="F363" s="28" t="s">
        <v>129</v>
      </c>
      <c r="G363" s="29">
        <v>42205</v>
      </c>
      <c r="H363" s="30">
        <v>1633917</v>
      </c>
      <c r="I363" s="28" t="str">
        <f>VLOOKUP('S&amp;P 500'!$E363,'Converted GISC'!$A$1:$C$159,2,FALSE)</f>
        <v>IT Services</v>
      </c>
    </row>
    <row r="364" spans="1:9" x14ac:dyDescent="0.25">
      <c r="A364" s="25" t="s">
        <v>1127</v>
      </c>
      <c r="B364" s="25" t="s">
        <v>1128</v>
      </c>
      <c r="C364" s="25" t="s">
        <v>106</v>
      </c>
      <c r="D364" s="25" t="s">
        <v>77</v>
      </c>
      <c r="E364" s="25" t="s">
        <v>540</v>
      </c>
      <c r="F364" s="25" t="s">
        <v>1129</v>
      </c>
      <c r="G364" s="26">
        <v>41183</v>
      </c>
      <c r="H364" s="27">
        <v>77360</v>
      </c>
      <c r="I364" s="25" t="str">
        <f>VLOOKUP('S&amp;P 500'!$E364,'Converted GISC'!$A$1:$C$159,2,FALSE)</f>
        <v>Machinery</v>
      </c>
    </row>
    <row r="365" spans="1:9" x14ac:dyDescent="0.25">
      <c r="A365" s="28" t="s">
        <v>1130</v>
      </c>
      <c r="B365" s="28" t="s">
        <v>1131</v>
      </c>
      <c r="C365" s="28" t="s">
        <v>106</v>
      </c>
      <c r="D365" s="28" t="s">
        <v>75</v>
      </c>
      <c r="E365" s="28" t="s">
        <v>1132</v>
      </c>
      <c r="F365" s="28" t="s">
        <v>1133</v>
      </c>
      <c r="G365" s="29">
        <v>39765</v>
      </c>
      <c r="H365" s="30">
        <v>1378946</v>
      </c>
      <c r="I365" s="28" t="str">
        <f>VLOOKUP('S&amp;P 500'!$E365,'Converted GISC'!$A$1:$C$159,2,FALSE)</f>
        <v>Thrifts &amp; Mortgage Finance</v>
      </c>
    </row>
    <row r="366" spans="1:9" x14ac:dyDescent="0.25">
      <c r="A366" s="25" t="s">
        <v>1134</v>
      </c>
      <c r="B366" s="25" t="s">
        <v>1135</v>
      </c>
      <c r="C366" s="25" t="s">
        <v>106</v>
      </c>
      <c r="D366" s="25" t="s">
        <v>73</v>
      </c>
      <c r="E366" s="25" t="s">
        <v>495</v>
      </c>
      <c r="F366" s="25" t="s">
        <v>1136</v>
      </c>
      <c r="G366" s="26"/>
      <c r="H366" s="27">
        <v>77476</v>
      </c>
      <c r="I366" s="25" t="str">
        <f>VLOOKUP('S&amp;P 500'!$E366,'Converted GISC'!$A$1:$C$159,2,FALSE)</f>
        <v>Beverages</v>
      </c>
    </row>
    <row r="367" spans="1:9" x14ac:dyDescent="0.25">
      <c r="A367" s="28" t="s">
        <v>1137</v>
      </c>
      <c r="B367" s="28" t="s">
        <v>1138</v>
      </c>
      <c r="C367" s="28" t="s">
        <v>106</v>
      </c>
      <c r="D367" s="28" t="s">
        <v>76</v>
      </c>
      <c r="E367" s="28" t="s">
        <v>110</v>
      </c>
      <c r="F367" s="28" t="s">
        <v>1139</v>
      </c>
      <c r="G367" s="29">
        <v>31198</v>
      </c>
      <c r="H367" s="30">
        <v>31791</v>
      </c>
      <c r="I367" s="28" t="str">
        <f>VLOOKUP('S&amp;P 500'!$E367,'Converted GISC'!$A$1:$C$159,2,FALSE)</f>
        <v>Health Care Equipment &amp; Supplies</v>
      </c>
    </row>
    <row r="368" spans="1:9" x14ac:dyDescent="0.25">
      <c r="A368" s="25" t="s">
        <v>1140</v>
      </c>
      <c r="B368" s="25" t="s">
        <v>1141</v>
      </c>
      <c r="C368" s="25" t="s">
        <v>106</v>
      </c>
      <c r="D368" s="25" t="s">
        <v>76</v>
      </c>
      <c r="E368" s="25" t="s">
        <v>41</v>
      </c>
      <c r="F368" s="25" t="s">
        <v>117</v>
      </c>
      <c r="G368" s="26">
        <v>40896</v>
      </c>
      <c r="H368" s="27">
        <v>1585364</v>
      </c>
      <c r="I368" s="25" t="str">
        <f>VLOOKUP('S&amp;P 500'!$E368,'Converted GISC'!$A$1:$C$159,2,FALSE)</f>
        <v>Pharmaceuticals</v>
      </c>
    </row>
    <row r="369" spans="1:9" x14ac:dyDescent="0.25">
      <c r="A369" s="28" t="s">
        <v>1142</v>
      </c>
      <c r="B369" s="28" t="s">
        <v>1143</v>
      </c>
      <c r="C369" s="28" t="s">
        <v>106</v>
      </c>
      <c r="D369" s="28" t="s">
        <v>76</v>
      </c>
      <c r="E369" s="28" t="s">
        <v>41</v>
      </c>
      <c r="F369" s="28" t="s">
        <v>218</v>
      </c>
      <c r="G369" s="29"/>
      <c r="H369" s="30">
        <v>78003</v>
      </c>
      <c r="I369" s="28" t="str">
        <f>VLOOKUP('S&amp;P 500'!$E369,'Converted GISC'!$A$1:$C$159,2,FALSE)</f>
        <v>Pharmaceuticals</v>
      </c>
    </row>
    <row r="370" spans="1:9" x14ac:dyDescent="0.25">
      <c r="A370" s="25" t="s">
        <v>1144</v>
      </c>
      <c r="B370" s="25" t="s">
        <v>1145</v>
      </c>
      <c r="C370" s="25" t="s">
        <v>106</v>
      </c>
      <c r="D370" s="25" t="s">
        <v>82</v>
      </c>
      <c r="E370" s="25" t="s">
        <v>14</v>
      </c>
      <c r="F370" s="25" t="s">
        <v>442</v>
      </c>
      <c r="G370" s="26"/>
      <c r="H370" s="27">
        <v>1004980</v>
      </c>
      <c r="I370" s="25" t="str">
        <f>VLOOKUP('S&amp;P 500'!$E370,'Converted GISC'!$A$1:$C$159,2,FALSE)</f>
        <v>Multi-Utilities</v>
      </c>
    </row>
    <row r="371" spans="1:9" x14ac:dyDescent="0.25">
      <c r="A371" s="28" t="s">
        <v>1146</v>
      </c>
      <c r="B371" s="28" t="s">
        <v>1147</v>
      </c>
      <c r="C371" s="28" t="s">
        <v>106</v>
      </c>
      <c r="D371" s="28" t="s">
        <v>73</v>
      </c>
      <c r="E371" s="28" t="s">
        <v>33</v>
      </c>
      <c r="F371" s="28" t="s">
        <v>218</v>
      </c>
      <c r="G371" s="29">
        <v>39538</v>
      </c>
      <c r="H371" s="30">
        <v>1413329</v>
      </c>
      <c r="I371" s="28" t="str">
        <f>VLOOKUP('S&amp;P 500'!$E371,'Converted GISC'!$A$1:$C$159,2,FALSE)</f>
        <v>Tobacco</v>
      </c>
    </row>
    <row r="372" spans="1:9" x14ac:dyDescent="0.25">
      <c r="A372" s="25" t="s">
        <v>1148</v>
      </c>
      <c r="B372" s="25" t="s">
        <v>1149</v>
      </c>
      <c r="C372" s="25" t="s">
        <v>106</v>
      </c>
      <c r="D372" s="25" t="s">
        <v>74</v>
      </c>
      <c r="E372" s="25" t="s">
        <v>254</v>
      </c>
      <c r="F372" s="25" t="s">
        <v>271</v>
      </c>
      <c r="G372" s="26">
        <v>41030</v>
      </c>
      <c r="H372" s="27">
        <v>1534701</v>
      </c>
      <c r="I372" s="25" t="str">
        <f>VLOOKUP('S&amp;P 500'!$E372,'Converted GISC'!$A$1:$C$159,2,FALSE)</f>
        <v>Oil, Gas &amp; Consumable Fuels</v>
      </c>
    </row>
    <row r="373" spans="1:9" x14ac:dyDescent="0.25">
      <c r="A373" s="28" t="s">
        <v>1150</v>
      </c>
      <c r="B373" s="28" t="s">
        <v>1151</v>
      </c>
      <c r="C373" s="28" t="s">
        <v>106</v>
      </c>
      <c r="D373" s="28" t="s">
        <v>82</v>
      </c>
      <c r="E373" s="28" t="s">
        <v>14</v>
      </c>
      <c r="F373" s="28" t="s">
        <v>733</v>
      </c>
      <c r="G373" s="29"/>
      <c r="H373" s="30">
        <v>764622</v>
      </c>
      <c r="I373" s="28" t="str">
        <f>VLOOKUP('S&amp;P 500'!$E373,'Converted GISC'!$A$1:$C$159,2,FALSE)</f>
        <v>Multi-Utilities</v>
      </c>
    </row>
    <row r="374" spans="1:9" x14ac:dyDescent="0.25">
      <c r="A374" s="25" t="s">
        <v>1152</v>
      </c>
      <c r="B374" s="25" t="s">
        <v>1153</v>
      </c>
      <c r="C374" s="25" t="s">
        <v>106</v>
      </c>
      <c r="D374" s="25" t="s">
        <v>74</v>
      </c>
      <c r="E374" s="25" t="s">
        <v>247</v>
      </c>
      <c r="F374" s="25" t="s">
        <v>679</v>
      </c>
      <c r="G374" s="26">
        <v>39715</v>
      </c>
      <c r="H374" s="27">
        <v>1038357</v>
      </c>
      <c r="I374" s="25" t="str">
        <f>VLOOKUP('S&amp;P 500'!$E374,'Converted GISC'!$A$1:$C$159,2,FALSE)</f>
        <v>Oil, Gas &amp; Consumable Fuels</v>
      </c>
    </row>
    <row r="375" spans="1:9" x14ac:dyDescent="0.25">
      <c r="A375" s="28" t="s">
        <v>1154</v>
      </c>
      <c r="B375" s="28" t="s">
        <v>1155</v>
      </c>
      <c r="C375" s="28" t="s">
        <v>106</v>
      </c>
      <c r="D375" s="28" t="s">
        <v>75</v>
      </c>
      <c r="E375" s="28" t="s">
        <v>336</v>
      </c>
      <c r="F375" s="28" t="s">
        <v>644</v>
      </c>
      <c r="G375" s="29">
        <v>32263</v>
      </c>
      <c r="H375" s="30">
        <v>713676</v>
      </c>
      <c r="I375" s="28" t="str">
        <f>VLOOKUP('S&amp;P 500'!$E375,'Converted GISC'!$A$1:$C$159,2,FALSE)</f>
        <v>Banks</v>
      </c>
    </row>
    <row r="376" spans="1:9" x14ac:dyDescent="0.25">
      <c r="A376" s="25" t="s">
        <v>1156</v>
      </c>
      <c r="B376" s="25" t="s">
        <v>1157</v>
      </c>
      <c r="C376" s="25" t="s">
        <v>106</v>
      </c>
      <c r="D376" s="25" t="s">
        <v>72</v>
      </c>
      <c r="E376" s="25" t="s">
        <v>772</v>
      </c>
      <c r="F376" s="25" t="s">
        <v>218</v>
      </c>
      <c r="G376" s="26">
        <v>39115</v>
      </c>
      <c r="H376" s="27">
        <v>1037038</v>
      </c>
      <c r="I376" s="25" t="str">
        <f>VLOOKUP('S&amp;P 500'!$E376,'Converted GISC'!$A$1:$C$159,2,FALSE)</f>
        <v>Textiles, Apparel &amp; Luxury Goods</v>
      </c>
    </row>
    <row r="377" spans="1:9" x14ac:dyDescent="0.25">
      <c r="A377" s="28" t="s">
        <v>1158</v>
      </c>
      <c r="B377" s="28" t="s">
        <v>1159</v>
      </c>
      <c r="C377" s="28" t="s">
        <v>106</v>
      </c>
      <c r="D377" s="28" t="s">
        <v>79</v>
      </c>
      <c r="E377" s="28" t="s">
        <v>169</v>
      </c>
      <c r="F377" s="28" t="s">
        <v>644</v>
      </c>
      <c r="G377" s="29"/>
      <c r="H377" s="30">
        <v>79879</v>
      </c>
      <c r="I377" s="28" t="str">
        <f>VLOOKUP('S&amp;P 500'!$E377,'Converted GISC'!$A$1:$C$159,2,FALSE)</f>
        <v>Chemicals</v>
      </c>
    </row>
    <row r="378" spans="1:9" x14ac:dyDescent="0.25">
      <c r="A378" s="25" t="s">
        <v>1160</v>
      </c>
      <c r="B378" s="25" t="s">
        <v>1161</v>
      </c>
      <c r="C378" s="25" t="s">
        <v>106</v>
      </c>
      <c r="D378" s="25" t="s">
        <v>82</v>
      </c>
      <c r="E378" s="25" t="s">
        <v>11</v>
      </c>
      <c r="F378" s="25" t="s">
        <v>160</v>
      </c>
      <c r="G378" s="26"/>
      <c r="H378" s="27">
        <v>922224</v>
      </c>
      <c r="I378" s="25" t="str">
        <f>VLOOKUP('S&amp;P 500'!$E378,'Converted GISC'!$A$1:$C$159,2,FALSE)</f>
        <v>Electric Utilities</v>
      </c>
    </row>
    <row r="379" spans="1:9" x14ac:dyDescent="0.25">
      <c r="A379" s="28" t="s">
        <v>1162</v>
      </c>
      <c r="B379" s="28" t="s">
        <v>1163</v>
      </c>
      <c r="C379" s="28" t="s">
        <v>106</v>
      </c>
      <c r="D379" s="28" t="s">
        <v>79</v>
      </c>
      <c r="E379" s="28" t="s">
        <v>159</v>
      </c>
      <c r="F379" s="28" t="s">
        <v>1164</v>
      </c>
      <c r="G379" s="29">
        <v>33786</v>
      </c>
      <c r="H379" s="30">
        <v>884905</v>
      </c>
      <c r="I379" s="28" t="str">
        <f>VLOOKUP('S&amp;P 500'!$E379,'Converted GISC'!$A$1:$C$159,2,FALSE)</f>
        <v>Chemicals</v>
      </c>
    </row>
    <row r="380" spans="1:9" x14ac:dyDescent="0.25">
      <c r="A380" s="25" t="s">
        <v>1165</v>
      </c>
      <c r="B380" s="25" t="s">
        <v>1166</v>
      </c>
      <c r="C380" s="25" t="s">
        <v>106</v>
      </c>
      <c r="D380" s="25" t="s">
        <v>75</v>
      </c>
      <c r="E380" s="25" t="s">
        <v>152</v>
      </c>
      <c r="F380" s="25" t="s">
        <v>1167</v>
      </c>
      <c r="G380" s="26">
        <v>37459</v>
      </c>
      <c r="H380" s="27">
        <v>1126328</v>
      </c>
      <c r="I380" s="25" t="str">
        <f>VLOOKUP('S&amp;P 500'!$E380,'Converted GISC'!$A$1:$C$159,2,FALSE)</f>
        <v>Insurance</v>
      </c>
    </row>
    <row r="381" spans="1:9" x14ac:dyDescent="0.25">
      <c r="A381" s="28" t="s">
        <v>1168</v>
      </c>
      <c r="B381" s="28" t="s">
        <v>1169</v>
      </c>
      <c r="C381" s="28" t="s">
        <v>106</v>
      </c>
      <c r="D381" s="28" t="s">
        <v>73</v>
      </c>
      <c r="E381" s="28" t="s">
        <v>32</v>
      </c>
      <c r="F381" s="28" t="s">
        <v>698</v>
      </c>
      <c r="G381" s="29"/>
      <c r="H381" s="30">
        <v>80424</v>
      </c>
      <c r="I381" s="28" t="str">
        <f>VLOOKUP('S&amp;P 500'!$E381,'Converted GISC'!$A$1:$C$159,2,FALSE)</f>
        <v>Personal Products</v>
      </c>
    </row>
    <row r="382" spans="1:9" x14ac:dyDescent="0.25">
      <c r="A382" s="25" t="s">
        <v>1170</v>
      </c>
      <c r="B382" s="25" t="s">
        <v>1171</v>
      </c>
      <c r="C382" s="25" t="s">
        <v>106</v>
      </c>
      <c r="D382" s="25" t="s">
        <v>75</v>
      </c>
      <c r="E382" s="25" t="s">
        <v>194</v>
      </c>
      <c r="F382" s="25" t="s">
        <v>1172</v>
      </c>
      <c r="G382" s="26">
        <v>35646</v>
      </c>
      <c r="H382" s="27">
        <v>80661</v>
      </c>
      <c r="I382" s="25" t="str">
        <f>VLOOKUP('S&amp;P 500'!$E382,'Converted GISC'!$A$1:$C$159,2,FALSE)</f>
        <v>Insurance</v>
      </c>
    </row>
    <row r="383" spans="1:9" x14ac:dyDescent="0.25">
      <c r="A383" s="28" t="s">
        <v>1173</v>
      </c>
      <c r="B383" s="28" t="s">
        <v>1174</v>
      </c>
      <c r="C383" s="28" t="s">
        <v>106</v>
      </c>
      <c r="D383" s="28" t="s">
        <v>80</v>
      </c>
      <c r="E383" s="28" t="s">
        <v>605</v>
      </c>
      <c r="F383" s="28" t="s">
        <v>442</v>
      </c>
      <c r="G383" s="29">
        <v>37819</v>
      </c>
      <c r="H383" s="30">
        <v>1045609</v>
      </c>
      <c r="I383" s="28" t="str">
        <f>VLOOKUP('S&amp;P 500'!$E383,'Converted GISC'!$A$1:$C$159,2,FALSE)</f>
        <v>Equity Real Estate Investment Trusts (REITs)</v>
      </c>
    </row>
    <row r="384" spans="1:9" x14ac:dyDescent="0.25">
      <c r="A384" s="25" t="s">
        <v>1175</v>
      </c>
      <c r="B384" s="25" t="s">
        <v>1176</v>
      </c>
      <c r="C384" s="25" t="s">
        <v>106</v>
      </c>
      <c r="D384" s="25" t="s">
        <v>75</v>
      </c>
      <c r="E384" s="25" t="s">
        <v>152</v>
      </c>
      <c r="F384" s="25" t="s">
        <v>1177</v>
      </c>
      <c r="G384" s="26">
        <v>37459</v>
      </c>
      <c r="H384" s="27">
        <v>1137774</v>
      </c>
      <c r="I384" s="25" t="str">
        <f>VLOOKUP('S&amp;P 500'!$E384,'Converted GISC'!$A$1:$C$159,2,FALSE)</f>
        <v>Insurance</v>
      </c>
    </row>
    <row r="385" spans="1:9" x14ac:dyDescent="0.25">
      <c r="A385" s="28" t="s">
        <v>1178</v>
      </c>
      <c r="B385" s="28" t="s">
        <v>1179</v>
      </c>
      <c r="C385" s="28" t="s">
        <v>106</v>
      </c>
      <c r="D385" s="28" t="s">
        <v>82</v>
      </c>
      <c r="E385" s="28" t="s">
        <v>11</v>
      </c>
      <c r="F385" s="28" t="s">
        <v>1177</v>
      </c>
      <c r="G385" s="29"/>
      <c r="H385" s="30">
        <v>788784</v>
      </c>
      <c r="I385" s="28" t="str">
        <f>VLOOKUP('S&amp;P 500'!$E385,'Converted GISC'!$A$1:$C$159,2,FALSE)</f>
        <v>Electric Utilities</v>
      </c>
    </row>
    <row r="386" spans="1:9" x14ac:dyDescent="0.25">
      <c r="A386" s="25" t="s">
        <v>1180</v>
      </c>
      <c r="B386" s="25" t="s">
        <v>1181</v>
      </c>
      <c r="C386" s="25" t="s">
        <v>106</v>
      </c>
      <c r="D386" s="25" t="s">
        <v>80</v>
      </c>
      <c r="E386" s="25" t="s">
        <v>223</v>
      </c>
      <c r="F386" s="25" t="s">
        <v>317</v>
      </c>
      <c r="G386" s="26">
        <v>38583</v>
      </c>
      <c r="H386" s="27">
        <v>1393311</v>
      </c>
      <c r="I386" s="25" t="str">
        <f>VLOOKUP('S&amp;P 500'!$E386,'Converted GISC'!$A$1:$C$159,2,FALSE)</f>
        <v>Equity Real Estate Investment Trusts (REITs)</v>
      </c>
    </row>
    <row r="387" spans="1:9" x14ac:dyDescent="0.25">
      <c r="A387" s="28" t="s">
        <v>1182</v>
      </c>
      <c r="B387" s="28" t="s">
        <v>1183</v>
      </c>
      <c r="C387" s="28" t="s">
        <v>106</v>
      </c>
      <c r="D387" s="28" t="s">
        <v>72</v>
      </c>
      <c r="E387" s="28" t="s">
        <v>548</v>
      </c>
      <c r="F387" s="28" t="s">
        <v>125</v>
      </c>
      <c r="G387" s="29">
        <v>30802</v>
      </c>
      <c r="H387" s="30">
        <v>822416</v>
      </c>
      <c r="I387" s="28" t="str">
        <f>VLOOKUP('S&amp;P 500'!$E387,'Converted GISC'!$A$1:$C$159,2,FALSE)</f>
        <v>Household Durables</v>
      </c>
    </row>
    <row r="388" spans="1:9" x14ac:dyDescent="0.25">
      <c r="A388" s="25" t="s">
        <v>1184</v>
      </c>
      <c r="B388" s="25" t="s">
        <v>1185</v>
      </c>
      <c r="C388" s="25" t="s">
        <v>106</v>
      </c>
      <c r="D388" s="25" t="s">
        <v>72</v>
      </c>
      <c r="E388" s="25" t="s">
        <v>772</v>
      </c>
      <c r="F388" s="25" t="s">
        <v>218</v>
      </c>
      <c r="G388" s="26">
        <v>41320</v>
      </c>
      <c r="H388" s="27">
        <v>78239</v>
      </c>
      <c r="I388" s="25" t="str">
        <f>VLOOKUP('S&amp;P 500'!$E388,'Converted GISC'!$A$1:$C$159,2,FALSE)</f>
        <v>Textiles, Apparel &amp; Luxury Goods</v>
      </c>
    </row>
    <row r="389" spans="1:9" x14ac:dyDescent="0.25">
      <c r="A389" s="28" t="s">
        <v>1186</v>
      </c>
      <c r="B389" s="28" t="s">
        <v>1187</v>
      </c>
      <c r="C389" s="28" t="s">
        <v>106</v>
      </c>
      <c r="D389" s="28" t="s">
        <v>78</v>
      </c>
      <c r="E389" s="28" t="s">
        <v>132</v>
      </c>
      <c r="F389" s="28" t="s">
        <v>1188</v>
      </c>
      <c r="G389" s="29">
        <v>42166</v>
      </c>
      <c r="H389" s="30">
        <v>1604778</v>
      </c>
      <c r="I389" s="28" t="str">
        <f>VLOOKUP('S&amp;P 500'!$E389,'Converted GISC'!$A$1:$C$159,2,FALSE)</f>
        <v>Semiconductors &amp; Semiconductor Equipment</v>
      </c>
    </row>
    <row r="390" spans="1:9" x14ac:dyDescent="0.25">
      <c r="A390" s="25" t="s">
        <v>1189</v>
      </c>
      <c r="B390" s="25" t="s">
        <v>1190</v>
      </c>
      <c r="C390" s="25" t="s">
        <v>106</v>
      </c>
      <c r="D390" s="25" t="s">
        <v>77</v>
      </c>
      <c r="E390" s="25" t="s">
        <v>47</v>
      </c>
      <c r="F390" s="25" t="s">
        <v>271</v>
      </c>
      <c r="G390" s="26">
        <v>39995</v>
      </c>
      <c r="H390" s="27">
        <v>1050915</v>
      </c>
      <c r="I390" s="25" t="str">
        <f>VLOOKUP('S&amp;P 500'!$E390,'Converted GISC'!$A$1:$C$159,2,FALSE)</f>
        <v>Construction &amp; Engineering</v>
      </c>
    </row>
    <row r="391" spans="1:9" x14ac:dyDescent="0.25">
      <c r="A391" s="28" t="s">
        <v>1191</v>
      </c>
      <c r="B391" s="28" t="s">
        <v>1192</v>
      </c>
      <c r="C391" s="28" t="s">
        <v>106</v>
      </c>
      <c r="D391" s="28" t="s">
        <v>78</v>
      </c>
      <c r="E391" s="28" t="s">
        <v>132</v>
      </c>
      <c r="F391" s="28" t="s">
        <v>840</v>
      </c>
      <c r="G391" s="29"/>
      <c r="H391" s="30">
        <v>804328</v>
      </c>
      <c r="I391" s="28" t="str">
        <f>VLOOKUP('S&amp;P 500'!$E391,'Converted GISC'!$A$1:$C$159,2,FALSE)</f>
        <v>Semiconductors &amp; Semiconductor Equipment</v>
      </c>
    </row>
    <row r="392" spans="1:9" x14ac:dyDescent="0.25">
      <c r="A392" s="25" t="s">
        <v>1193</v>
      </c>
      <c r="B392" s="25" t="s">
        <v>1194</v>
      </c>
      <c r="C392" s="25" t="s">
        <v>106</v>
      </c>
      <c r="D392" s="25" t="s">
        <v>76</v>
      </c>
      <c r="E392" s="25" t="s">
        <v>638</v>
      </c>
      <c r="F392" s="25" t="s">
        <v>1195</v>
      </c>
      <c r="G392" s="26">
        <v>37602</v>
      </c>
      <c r="H392" s="27">
        <v>1022079</v>
      </c>
      <c r="I392" s="25" t="str">
        <f>VLOOKUP('S&amp;P 500'!$E392,'Converted GISC'!$A$1:$C$159,2,FALSE)</f>
        <v>Health Care Providers &amp; Services</v>
      </c>
    </row>
    <row r="393" spans="1:9" x14ac:dyDescent="0.25">
      <c r="A393" s="28" t="s">
        <v>1196</v>
      </c>
      <c r="B393" s="28" t="s">
        <v>1197</v>
      </c>
      <c r="C393" s="28" t="s">
        <v>106</v>
      </c>
      <c r="D393" s="28" t="s">
        <v>74</v>
      </c>
      <c r="E393" s="28" t="s">
        <v>247</v>
      </c>
      <c r="F393" s="28" t="s">
        <v>212</v>
      </c>
      <c r="G393" s="29">
        <v>39437</v>
      </c>
      <c r="H393" s="30">
        <v>315852</v>
      </c>
      <c r="I393" s="28" t="str">
        <f>VLOOKUP('S&amp;P 500'!$E393,'Converted GISC'!$A$1:$C$159,2,FALSE)</f>
        <v>Oil, Gas &amp; Consumable Fuels</v>
      </c>
    </row>
    <row r="394" spans="1:9" x14ac:dyDescent="0.25">
      <c r="A394" s="25" t="s">
        <v>1198</v>
      </c>
      <c r="B394" s="25" t="s">
        <v>1199</v>
      </c>
      <c r="C394" s="25" t="s">
        <v>106</v>
      </c>
      <c r="D394" s="25" t="s">
        <v>75</v>
      </c>
      <c r="E394" s="25" t="s">
        <v>441</v>
      </c>
      <c r="F394" s="25" t="s">
        <v>1200</v>
      </c>
      <c r="G394" s="26">
        <v>42814</v>
      </c>
      <c r="H394" s="27">
        <v>720005</v>
      </c>
      <c r="I394" s="25" t="str">
        <f>VLOOKUP('S&amp;P 500'!$E394,'Converted GISC'!$A$1:$C$159,2,FALSE)</f>
        <v>Capital Markets</v>
      </c>
    </row>
    <row r="395" spans="1:9" x14ac:dyDescent="0.25">
      <c r="A395" s="28" t="s">
        <v>1201</v>
      </c>
      <c r="B395" s="28" t="s">
        <v>1202</v>
      </c>
      <c r="C395" s="28" t="s">
        <v>106</v>
      </c>
      <c r="D395" s="28" t="s">
        <v>77</v>
      </c>
      <c r="E395" s="28" t="s">
        <v>42</v>
      </c>
      <c r="F395" s="28" t="s">
        <v>1139</v>
      </c>
      <c r="G395" s="29"/>
      <c r="H395" s="30">
        <v>1047122</v>
      </c>
      <c r="I395" s="28" t="str">
        <f>VLOOKUP('S&amp;P 500'!$E395,'Converted GISC'!$A$1:$C$159,2,FALSE)</f>
        <v>Aerospace &amp; Defense</v>
      </c>
    </row>
    <row r="396" spans="1:9" x14ac:dyDescent="0.25">
      <c r="A396" s="25" t="s">
        <v>1203</v>
      </c>
      <c r="B396" s="25" t="s">
        <v>1204</v>
      </c>
      <c r="C396" s="25" t="s">
        <v>106</v>
      </c>
      <c r="D396" s="25" t="s">
        <v>80</v>
      </c>
      <c r="E396" s="25" t="s">
        <v>690</v>
      </c>
      <c r="F396" s="25" t="s">
        <v>840</v>
      </c>
      <c r="G396" s="26">
        <v>42101</v>
      </c>
      <c r="H396" s="27">
        <v>726728</v>
      </c>
      <c r="I396" s="25" t="str">
        <f>VLOOKUP('S&amp;P 500'!$E396,'Converted GISC'!$A$1:$C$159,2,FALSE)</f>
        <v>Equity Real Estate Investment Trusts (REITs)</v>
      </c>
    </row>
    <row r="397" spans="1:9" x14ac:dyDescent="0.25">
      <c r="A397" s="28" t="s">
        <v>1205</v>
      </c>
      <c r="B397" s="28" t="s">
        <v>1206</v>
      </c>
      <c r="C397" s="28" t="s">
        <v>106</v>
      </c>
      <c r="D397" s="28" t="s">
        <v>78</v>
      </c>
      <c r="E397" s="28" t="s">
        <v>386</v>
      </c>
      <c r="F397" s="28" t="s">
        <v>972</v>
      </c>
      <c r="G397" s="29">
        <v>40021</v>
      </c>
      <c r="H397" s="30">
        <v>1087423</v>
      </c>
      <c r="I397" s="28" t="str">
        <f>VLOOKUP('S&amp;P 500'!$E397,'Converted GISC'!$A$1:$C$159,2,FALSE)</f>
        <v>Software</v>
      </c>
    </row>
    <row r="398" spans="1:9" x14ac:dyDescent="0.25">
      <c r="A398" s="25" t="s">
        <v>1207</v>
      </c>
      <c r="B398" s="25" t="s">
        <v>1208</v>
      </c>
      <c r="C398" s="25" t="s">
        <v>106</v>
      </c>
      <c r="D398" s="25" t="s">
        <v>80</v>
      </c>
      <c r="E398" s="25" t="s">
        <v>690</v>
      </c>
      <c r="F398" s="25" t="s">
        <v>537</v>
      </c>
      <c r="G398" s="26">
        <v>42796</v>
      </c>
      <c r="H398" s="27">
        <v>910606</v>
      </c>
      <c r="I398" s="25" t="str">
        <f>VLOOKUP('S&amp;P 500'!$E398,'Converted GISC'!$A$1:$C$159,2,FALSE)</f>
        <v>Equity Real Estate Investment Trusts (REITs)</v>
      </c>
    </row>
    <row r="399" spans="1:9" x14ac:dyDescent="0.25">
      <c r="A399" s="28" t="s">
        <v>1209</v>
      </c>
      <c r="B399" s="28" t="s">
        <v>1210</v>
      </c>
      <c r="C399" s="28" t="s">
        <v>106</v>
      </c>
      <c r="D399" s="28" t="s">
        <v>76</v>
      </c>
      <c r="E399" s="28" t="s">
        <v>36</v>
      </c>
      <c r="F399" s="28" t="s">
        <v>1211</v>
      </c>
      <c r="G399" s="29">
        <v>41395</v>
      </c>
      <c r="H399" s="30">
        <v>872589</v>
      </c>
      <c r="I399" s="28" t="str">
        <f>VLOOKUP('S&amp;P 500'!$E399,'Converted GISC'!$A$1:$C$159,2,FALSE)</f>
        <v>Biotechnology</v>
      </c>
    </row>
    <row r="400" spans="1:9" x14ac:dyDescent="0.25">
      <c r="A400" s="25" t="s">
        <v>1212</v>
      </c>
      <c r="B400" s="25" t="s">
        <v>1213</v>
      </c>
      <c r="C400" s="25" t="s">
        <v>106</v>
      </c>
      <c r="D400" s="25" t="s">
        <v>75</v>
      </c>
      <c r="E400" s="25" t="s">
        <v>336</v>
      </c>
      <c r="F400" s="25" t="s">
        <v>1214</v>
      </c>
      <c r="G400" s="26">
        <v>36035</v>
      </c>
      <c r="H400" s="27">
        <v>1281761</v>
      </c>
      <c r="I400" s="25" t="str">
        <f>VLOOKUP('S&amp;P 500'!$E400,'Converted GISC'!$A$1:$C$159,2,FALSE)</f>
        <v>Banks</v>
      </c>
    </row>
    <row r="401" spans="1:9" x14ac:dyDescent="0.25">
      <c r="A401" s="28" t="s">
        <v>1215</v>
      </c>
      <c r="B401" s="28" t="s">
        <v>1216</v>
      </c>
      <c r="C401" s="28" t="s">
        <v>106</v>
      </c>
      <c r="D401" s="28" t="s">
        <v>77</v>
      </c>
      <c r="E401" s="28" t="s">
        <v>1217</v>
      </c>
      <c r="F401" s="28" t="s">
        <v>733</v>
      </c>
      <c r="G401" s="29">
        <v>39787</v>
      </c>
      <c r="H401" s="30">
        <v>1060391</v>
      </c>
      <c r="I401" s="28" t="str">
        <f>VLOOKUP('S&amp;P 500'!$E401,'Converted GISC'!$A$1:$C$159,2,FALSE)</f>
        <v>Commercial Services &amp; Supplies</v>
      </c>
    </row>
    <row r="402" spans="1:9" x14ac:dyDescent="0.25">
      <c r="A402" s="25" t="s">
        <v>1218</v>
      </c>
      <c r="B402" s="25" t="s">
        <v>1219</v>
      </c>
      <c r="C402" s="25" t="s">
        <v>106</v>
      </c>
      <c r="D402" s="25" t="s">
        <v>76</v>
      </c>
      <c r="E402" s="25" t="s">
        <v>110</v>
      </c>
      <c r="F402" s="25" t="s">
        <v>840</v>
      </c>
      <c r="G402" s="26">
        <v>42942</v>
      </c>
      <c r="H402" s="27">
        <v>943819</v>
      </c>
      <c r="I402" s="25" t="str">
        <f>VLOOKUP('S&amp;P 500'!$E402,'Converted GISC'!$A$1:$C$159,2,FALSE)</f>
        <v>Health Care Equipment &amp; Supplies</v>
      </c>
    </row>
    <row r="403" spans="1:9" x14ac:dyDescent="0.25">
      <c r="A403" s="28" t="s">
        <v>1220</v>
      </c>
      <c r="B403" s="28" t="s">
        <v>1221</v>
      </c>
      <c r="C403" s="28" t="s">
        <v>106</v>
      </c>
      <c r="D403" s="28" t="s">
        <v>77</v>
      </c>
      <c r="E403" s="28" t="s">
        <v>1222</v>
      </c>
      <c r="F403" s="28" t="s">
        <v>684</v>
      </c>
      <c r="G403" s="29">
        <v>36865</v>
      </c>
      <c r="H403" s="30">
        <v>315213</v>
      </c>
      <c r="I403" s="28" t="str">
        <f>VLOOKUP('S&amp;P 500'!$E403,'Converted GISC'!$A$1:$C$159,2,FALSE)</f>
        <v>Professional Services</v>
      </c>
    </row>
    <row r="404" spans="1:9" x14ac:dyDescent="0.25">
      <c r="A404" s="25" t="s">
        <v>1223</v>
      </c>
      <c r="B404" s="25" t="s">
        <v>1224</v>
      </c>
      <c r="C404" s="25" t="s">
        <v>106</v>
      </c>
      <c r="D404" s="25" t="s">
        <v>77</v>
      </c>
      <c r="E404" s="25" t="s">
        <v>124</v>
      </c>
      <c r="F404" s="25" t="s">
        <v>268</v>
      </c>
      <c r="G404" s="26"/>
      <c r="H404" s="27">
        <v>1024478</v>
      </c>
      <c r="I404" s="25" t="str">
        <f>VLOOKUP('S&amp;P 500'!$E404,'Converted GISC'!$A$1:$C$159,2,FALSE)</f>
        <v>Electrical Equipment</v>
      </c>
    </row>
    <row r="405" spans="1:9" x14ac:dyDescent="0.25">
      <c r="A405" s="28" t="s">
        <v>1225</v>
      </c>
      <c r="B405" s="28" t="s">
        <v>1226</v>
      </c>
      <c r="C405" s="28" t="s">
        <v>106</v>
      </c>
      <c r="D405" s="28" t="s">
        <v>77</v>
      </c>
      <c r="E405" s="28" t="s">
        <v>42</v>
      </c>
      <c r="F405" s="28" t="s">
        <v>1227</v>
      </c>
      <c r="G405" s="29">
        <v>37074</v>
      </c>
      <c r="H405" s="30">
        <v>1137411</v>
      </c>
      <c r="I405" s="28" t="str">
        <f>VLOOKUP('S&amp;P 500'!$E405,'Converted GISC'!$A$1:$C$159,2,FALSE)</f>
        <v>Aerospace &amp; Defense</v>
      </c>
    </row>
    <row r="406" spans="1:9" x14ac:dyDescent="0.25">
      <c r="A406" s="25" t="s">
        <v>1228</v>
      </c>
      <c r="B406" s="25" t="s">
        <v>1229</v>
      </c>
      <c r="C406" s="25" t="s">
        <v>106</v>
      </c>
      <c r="D406" s="25" t="s">
        <v>77</v>
      </c>
      <c r="E406" s="25" t="s">
        <v>49</v>
      </c>
      <c r="F406" s="25" t="s">
        <v>1230</v>
      </c>
      <c r="G406" s="26">
        <v>40170</v>
      </c>
      <c r="H406" s="27">
        <v>882835</v>
      </c>
      <c r="I406" s="25" t="str">
        <f>VLOOKUP('S&amp;P 500'!$E406,'Converted GISC'!$A$1:$C$159,2,FALSE)</f>
        <v>Industrial Conglomerates</v>
      </c>
    </row>
    <row r="407" spans="1:9" x14ac:dyDescent="0.25">
      <c r="A407" s="28" t="s">
        <v>1231</v>
      </c>
      <c r="B407" s="28" t="s">
        <v>1232</v>
      </c>
      <c r="C407" s="28" t="s">
        <v>106</v>
      </c>
      <c r="D407" s="28" t="s">
        <v>72</v>
      </c>
      <c r="E407" s="28" t="s">
        <v>717</v>
      </c>
      <c r="F407" s="28" t="s">
        <v>519</v>
      </c>
      <c r="G407" s="29">
        <v>40168</v>
      </c>
      <c r="H407" s="30">
        <v>745732</v>
      </c>
      <c r="I407" s="28" t="str">
        <f>VLOOKUP('S&amp;P 500'!$E407,'Converted GISC'!$A$1:$C$159,2,FALSE)</f>
        <v>Specialty Retail</v>
      </c>
    </row>
    <row r="408" spans="1:9" x14ac:dyDescent="0.25">
      <c r="A408" s="25" t="s">
        <v>1233</v>
      </c>
      <c r="B408" s="25" t="s">
        <v>1234</v>
      </c>
      <c r="C408" s="25" t="s">
        <v>106</v>
      </c>
      <c r="D408" s="25" t="s">
        <v>72</v>
      </c>
      <c r="E408" s="25" t="s">
        <v>409</v>
      </c>
      <c r="F408" s="25" t="s">
        <v>410</v>
      </c>
      <c r="G408" s="26">
        <v>41978</v>
      </c>
      <c r="H408" s="27">
        <v>884887</v>
      </c>
      <c r="I408" s="25" t="str">
        <f>VLOOKUP('S&amp;P 500'!$E408,'Converted GISC'!$A$1:$C$159,2,FALSE)</f>
        <v>Hotels, Restaurants &amp; Leisure</v>
      </c>
    </row>
    <row r="409" spans="1:9" x14ac:dyDescent="0.25">
      <c r="A409" s="28" t="s">
        <v>1235</v>
      </c>
      <c r="B409" s="28" t="s">
        <v>1236</v>
      </c>
      <c r="C409" s="28" t="s">
        <v>106</v>
      </c>
      <c r="D409" s="28" t="s">
        <v>78</v>
      </c>
      <c r="E409" s="28" t="s">
        <v>59</v>
      </c>
      <c r="F409" s="28" t="s">
        <v>442</v>
      </c>
      <c r="G409" s="29">
        <v>39706</v>
      </c>
      <c r="H409" s="30">
        <v>1108524</v>
      </c>
      <c r="I409" s="28" t="str">
        <f>VLOOKUP('S&amp;P 500'!$E409,'Converted GISC'!$A$1:$C$159,2,FALSE)</f>
        <v>Internet Software &amp; Services</v>
      </c>
    </row>
    <row r="410" spans="1:9" x14ac:dyDescent="0.25">
      <c r="A410" s="25" t="s">
        <v>1237</v>
      </c>
      <c r="B410" s="25" t="s">
        <v>1238</v>
      </c>
      <c r="C410" s="25" t="s">
        <v>106</v>
      </c>
      <c r="D410" s="25" t="s">
        <v>80</v>
      </c>
      <c r="E410" s="25" t="s">
        <v>223</v>
      </c>
      <c r="F410" s="25" t="s">
        <v>1239</v>
      </c>
      <c r="G410" s="26">
        <v>42979</v>
      </c>
      <c r="H410" s="27">
        <v>1034054</v>
      </c>
      <c r="I410" s="25" t="str">
        <f>VLOOKUP('S&amp;P 500'!$E410,'Converted GISC'!$A$1:$C$159,2,FALSE)</f>
        <v>Equity Real Estate Investment Trusts (REITs)</v>
      </c>
    </row>
    <row r="411" spans="1:9" x14ac:dyDescent="0.25">
      <c r="A411" s="28" t="s">
        <v>1240</v>
      </c>
      <c r="B411" s="28" t="s">
        <v>1241</v>
      </c>
      <c r="C411" s="28" t="s">
        <v>106</v>
      </c>
      <c r="D411" s="28" t="s">
        <v>82</v>
      </c>
      <c r="E411" s="28" t="s">
        <v>14</v>
      </c>
      <c r="F411" s="28" t="s">
        <v>1242</v>
      </c>
      <c r="G411" s="29">
        <v>39815</v>
      </c>
      <c r="H411" s="30">
        <v>754737</v>
      </c>
      <c r="I411" s="28" t="str">
        <f>VLOOKUP('S&amp;P 500'!$E411,'Converted GISC'!$A$1:$C$159,2,FALSE)</f>
        <v>Multi-Utilities</v>
      </c>
    </row>
    <row r="412" spans="1:9" x14ac:dyDescent="0.25">
      <c r="A412" s="25" t="s">
        <v>1243</v>
      </c>
      <c r="B412" s="25" t="s">
        <v>1244</v>
      </c>
      <c r="C412" s="25" t="s">
        <v>106</v>
      </c>
      <c r="D412" s="25" t="s">
        <v>74</v>
      </c>
      <c r="E412" s="25" t="s">
        <v>320</v>
      </c>
      <c r="F412" s="25" t="s">
        <v>1245</v>
      </c>
      <c r="G412" s="26">
        <v>23832</v>
      </c>
      <c r="H412" s="27">
        <v>87347</v>
      </c>
      <c r="I412" s="25" t="str">
        <f>VLOOKUP('S&amp;P 500'!$E412,'Converted GISC'!$A$1:$C$159,2,FALSE)</f>
        <v>Energy Equipment &amp; Services</v>
      </c>
    </row>
    <row r="413" spans="1:9" x14ac:dyDescent="0.25">
      <c r="A413" s="28" t="s">
        <v>1246</v>
      </c>
      <c r="B413" s="28" t="s">
        <v>1247</v>
      </c>
      <c r="C413" s="28" t="s">
        <v>106</v>
      </c>
      <c r="D413" s="28" t="s">
        <v>72</v>
      </c>
      <c r="E413" s="28" t="s">
        <v>445</v>
      </c>
      <c r="F413" s="28" t="s">
        <v>698</v>
      </c>
      <c r="G413" s="29">
        <v>39630</v>
      </c>
      <c r="H413" s="30">
        <v>1430602</v>
      </c>
      <c r="I413" s="28" t="str">
        <f>VLOOKUP('S&amp;P 500'!$E413,'Converted GISC'!$A$1:$C$159,2,FALSE)</f>
        <v>Media</v>
      </c>
    </row>
    <row r="414" spans="1:9" x14ac:dyDescent="0.25">
      <c r="A414" s="25" t="s">
        <v>1248</v>
      </c>
      <c r="B414" s="25" t="s">
        <v>1249</v>
      </c>
      <c r="C414" s="25" t="s">
        <v>106</v>
      </c>
      <c r="D414" s="25" t="s">
        <v>78</v>
      </c>
      <c r="E414" s="25" t="s">
        <v>62</v>
      </c>
      <c r="F414" s="25" t="s">
        <v>117</v>
      </c>
      <c r="G414" s="26">
        <v>41092</v>
      </c>
      <c r="H414" s="27">
        <v>1137789</v>
      </c>
      <c r="I414" s="25" t="str">
        <f>VLOOKUP('S&amp;P 500'!$E414,'Converted GISC'!$A$1:$C$159,2,FALSE)</f>
        <v>Technology Hardware, Storage &amp; Peripherals</v>
      </c>
    </row>
    <row r="415" spans="1:9" x14ac:dyDescent="0.25">
      <c r="A415" s="28" t="s">
        <v>1250</v>
      </c>
      <c r="B415" s="28" t="s">
        <v>1251</v>
      </c>
      <c r="C415" s="28" t="s">
        <v>106</v>
      </c>
      <c r="D415" s="28" t="s">
        <v>79</v>
      </c>
      <c r="E415" s="28" t="s">
        <v>316</v>
      </c>
      <c r="F415" s="28" t="s">
        <v>1252</v>
      </c>
      <c r="G415" s="29"/>
      <c r="H415" s="30">
        <v>1012100</v>
      </c>
      <c r="I415" s="28" t="str">
        <f>VLOOKUP('S&amp;P 500'!$E415,'Converted GISC'!$A$1:$C$159,2,FALSE)</f>
        <v>Containers &amp; Packaging</v>
      </c>
    </row>
    <row r="416" spans="1:9" x14ac:dyDescent="0.25">
      <c r="A416" s="25" t="s">
        <v>1253</v>
      </c>
      <c r="B416" s="25" t="s">
        <v>1254</v>
      </c>
      <c r="C416" s="25" t="s">
        <v>106</v>
      </c>
      <c r="D416" s="25" t="s">
        <v>82</v>
      </c>
      <c r="E416" s="25" t="s">
        <v>14</v>
      </c>
      <c r="F416" s="25" t="s">
        <v>840</v>
      </c>
      <c r="G416" s="26"/>
      <c r="H416" s="27">
        <v>1032208</v>
      </c>
      <c r="I416" s="25" t="str">
        <f>VLOOKUP('S&amp;P 500'!$E416,'Converted GISC'!$A$1:$C$159,2,FALSE)</f>
        <v>Multi-Utilities</v>
      </c>
    </row>
    <row r="417" spans="1:9" x14ac:dyDescent="0.25">
      <c r="A417" s="28" t="s">
        <v>1255</v>
      </c>
      <c r="B417" s="28" t="s">
        <v>1256</v>
      </c>
      <c r="C417" s="28" t="s">
        <v>106</v>
      </c>
      <c r="D417" s="28" t="s">
        <v>79</v>
      </c>
      <c r="E417" s="28" t="s">
        <v>169</v>
      </c>
      <c r="F417" s="28" t="s">
        <v>898</v>
      </c>
      <c r="G417" s="29">
        <v>23558</v>
      </c>
      <c r="H417" s="30">
        <v>89800</v>
      </c>
      <c r="I417" s="28" t="str">
        <f>VLOOKUP('S&amp;P 500'!$E417,'Converted GISC'!$A$1:$C$159,2,FALSE)</f>
        <v>Chemicals</v>
      </c>
    </row>
    <row r="418" spans="1:9" x14ac:dyDescent="0.25">
      <c r="A418" s="25" t="s">
        <v>1257</v>
      </c>
      <c r="B418" s="25" t="s">
        <v>1258</v>
      </c>
      <c r="C418" s="25" t="s">
        <v>106</v>
      </c>
      <c r="D418" s="25" t="s">
        <v>72</v>
      </c>
      <c r="E418" s="25" t="s">
        <v>310</v>
      </c>
      <c r="F418" s="25" t="s">
        <v>663</v>
      </c>
      <c r="G418" s="26">
        <v>42214</v>
      </c>
      <c r="H418" s="27">
        <v>832988</v>
      </c>
      <c r="I418" s="25" t="str">
        <f>VLOOKUP('S&amp;P 500'!$E418,'Converted GISC'!$A$1:$C$159,2,FALSE)</f>
        <v>Specialty Retail</v>
      </c>
    </row>
    <row r="419" spans="1:9" x14ac:dyDescent="0.25">
      <c r="A419" s="28" t="s">
        <v>1259</v>
      </c>
      <c r="B419" s="28" t="s">
        <v>1260</v>
      </c>
      <c r="C419" s="28" t="s">
        <v>106</v>
      </c>
      <c r="D419" s="28" t="s">
        <v>80</v>
      </c>
      <c r="E419" s="28" t="s">
        <v>690</v>
      </c>
      <c r="F419" s="28" t="s">
        <v>261</v>
      </c>
      <c r="G419" s="29">
        <v>37433</v>
      </c>
      <c r="H419" s="30">
        <v>1063761</v>
      </c>
      <c r="I419" s="28" t="str">
        <f>VLOOKUP('S&amp;P 500'!$E419,'Converted GISC'!$A$1:$C$159,2,FALSE)</f>
        <v>Equity Real Estate Investment Trusts (REITs)</v>
      </c>
    </row>
    <row r="420" spans="1:9" x14ac:dyDescent="0.25">
      <c r="A420" s="25" t="s">
        <v>1261</v>
      </c>
      <c r="B420" s="25" t="s">
        <v>1262</v>
      </c>
      <c r="C420" s="25" t="s">
        <v>106</v>
      </c>
      <c r="D420" s="25" t="s">
        <v>78</v>
      </c>
      <c r="E420" s="25" t="s">
        <v>132</v>
      </c>
      <c r="F420" s="25" t="s">
        <v>1263</v>
      </c>
      <c r="G420" s="26">
        <v>42075</v>
      </c>
      <c r="H420" s="27">
        <v>4127</v>
      </c>
      <c r="I420" s="25" t="str">
        <f>VLOOKUP('S&amp;P 500'!$E420,'Converted GISC'!$A$1:$C$159,2,FALSE)</f>
        <v>Semiconductors &amp; Semiconductor Equipment</v>
      </c>
    </row>
    <row r="421" spans="1:9" x14ac:dyDescent="0.25">
      <c r="A421" s="28" t="s">
        <v>1264</v>
      </c>
      <c r="B421" s="28" t="s">
        <v>1265</v>
      </c>
      <c r="C421" s="28" t="s">
        <v>106</v>
      </c>
      <c r="D421" s="28" t="s">
        <v>80</v>
      </c>
      <c r="E421" s="28" t="s">
        <v>173</v>
      </c>
      <c r="F421" s="28" t="s">
        <v>218</v>
      </c>
      <c r="G421" s="29">
        <v>42083</v>
      </c>
      <c r="H421" s="30">
        <v>1040971</v>
      </c>
      <c r="I421" s="28" t="str">
        <f>VLOOKUP('S&amp;P 500'!$E421,'Converted GISC'!$A$1:$C$159,2,FALSE)</f>
        <v>Equity Real Estate Investment Trusts (REITs)</v>
      </c>
    </row>
    <row r="422" spans="1:9" x14ac:dyDescent="0.25">
      <c r="A422" s="25" t="s">
        <v>1266</v>
      </c>
      <c r="B422" s="25" t="s">
        <v>1267</v>
      </c>
      <c r="C422" s="25" t="s">
        <v>106</v>
      </c>
      <c r="D422" s="25" t="s">
        <v>72</v>
      </c>
      <c r="E422" s="25" t="s">
        <v>1268</v>
      </c>
      <c r="F422" s="25" t="s">
        <v>1269</v>
      </c>
      <c r="G422" s="26">
        <v>30224</v>
      </c>
      <c r="H422" s="27">
        <v>91440</v>
      </c>
      <c r="I422" s="25" t="str">
        <f>VLOOKUP('S&amp;P 500'!$E422,'Converted GISC'!$A$1:$C$159,2,FALSE)</f>
        <v>Household Durables</v>
      </c>
    </row>
    <row r="423" spans="1:9" x14ac:dyDescent="0.25">
      <c r="A423" s="28" t="s">
        <v>1270</v>
      </c>
      <c r="B423" s="28" t="s">
        <v>1271</v>
      </c>
      <c r="C423" s="28" t="s">
        <v>106</v>
      </c>
      <c r="D423" s="28" t="s">
        <v>82</v>
      </c>
      <c r="E423" s="28" t="s">
        <v>11</v>
      </c>
      <c r="F423" s="28" t="s">
        <v>125</v>
      </c>
      <c r="G423" s="29"/>
      <c r="H423" s="30">
        <v>92122</v>
      </c>
      <c r="I423" s="28" t="str">
        <f>VLOOKUP('S&amp;P 500'!$E423,'Converted GISC'!$A$1:$C$159,2,FALSE)</f>
        <v>Electric Utilities</v>
      </c>
    </row>
    <row r="424" spans="1:9" x14ac:dyDescent="0.25">
      <c r="A424" s="25" t="s">
        <v>1272</v>
      </c>
      <c r="B424" s="25" t="s">
        <v>1273</v>
      </c>
      <c r="C424" s="25" t="s">
        <v>106</v>
      </c>
      <c r="D424" s="25" t="s">
        <v>77</v>
      </c>
      <c r="E424" s="25" t="s">
        <v>44</v>
      </c>
      <c r="F424" s="25" t="s">
        <v>301</v>
      </c>
      <c r="G424" s="26">
        <v>34516</v>
      </c>
      <c r="H424" s="27">
        <v>92380</v>
      </c>
      <c r="I424" s="25" t="str">
        <f>VLOOKUP('S&amp;P 500'!$E424,'Converted GISC'!$A$1:$C$159,2,FALSE)</f>
        <v>Airlines</v>
      </c>
    </row>
    <row r="425" spans="1:9" x14ac:dyDescent="0.25">
      <c r="A425" s="28" t="s">
        <v>1274</v>
      </c>
      <c r="B425" s="28" t="s">
        <v>1275</v>
      </c>
      <c r="C425" s="28" t="s">
        <v>106</v>
      </c>
      <c r="D425" s="28" t="s">
        <v>75</v>
      </c>
      <c r="E425" s="28" t="s">
        <v>404</v>
      </c>
      <c r="F425" s="28" t="s">
        <v>218</v>
      </c>
      <c r="G425" s="29"/>
      <c r="H425" s="30">
        <v>64040</v>
      </c>
      <c r="I425" s="28" t="str">
        <f>VLOOKUP('S&amp;P 500'!$E425,'Converted GISC'!$A$1:$C$159,2,FALSE)</f>
        <v>Capital Markets</v>
      </c>
    </row>
    <row r="426" spans="1:9" x14ac:dyDescent="0.25">
      <c r="A426" s="25" t="s">
        <v>1276</v>
      </c>
      <c r="B426" s="25" t="s">
        <v>1277</v>
      </c>
      <c r="C426" s="25" t="s">
        <v>106</v>
      </c>
      <c r="D426" s="25" t="s">
        <v>72</v>
      </c>
      <c r="E426" s="25" t="s">
        <v>1268</v>
      </c>
      <c r="F426" s="25" t="s">
        <v>1278</v>
      </c>
      <c r="G426" s="26">
        <v>30224</v>
      </c>
      <c r="H426" s="27">
        <v>93556</v>
      </c>
      <c r="I426" s="25" t="str">
        <f>VLOOKUP('S&amp;P 500'!$E426,'Converted GISC'!$A$1:$C$159,2,FALSE)</f>
        <v>Household Durables</v>
      </c>
    </row>
    <row r="427" spans="1:9" x14ac:dyDescent="0.25">
      <c r="A427" s="28" t="s">
        <v>1279</v>
      </c>
      <c r="B427" s="28" t="s">
        <v>1280</v>
      </c>
      <c r="C427" s="28" t="s">
        <v>106</v>
      </c>
      <c r="D427" s="28" t="s">
        <v>72</v>
      </c>
      <c r="E427" s="28" t="s">
        <v>456</v>
      </c>
      <c r="F427" s="28" t="s">
        <v>166</v>
      </c>
      <c r="G427" s="29"/>
      <c r="H427" s="30">
        <v>829224</v>
      </c>
      <c r="I427" s="28" t="str">
        <f>VLOOKUP('S&amp;P 500'!$E427,'Converted GISC'!$A$1:$C$159,2,FALSE)</f>
        <v>Hotels, Restaurants &amp; Leisure</v>
      </c>
    </row>
    <row r="428" spans="1:9" x14ac:dyDescent="0.25">
      <c r="A428" s="25" t="s">
        <v>1281</v>
      </c>
      <c r="B428" s="25" t="s">
        <v>1282</v>
      </c>
      <c r="C428" s="25" t="s">
        <v>106</v>
      </c>
      <c r="D428" s="25" t="s">
        <v>75</v>
      </c>
      <c r="E428" s="25" t="s">
        <v>148</v>
      </c>
      <c r="F428" s="25" t="s">
        <v>224</v>
      </c>
      <c r="G428" s="26"/>
      <c r="H428" s="27">
        <v>93751</v>
      </c>
      <c r="I428" s="25" t="str">
        <f>VLOOKUP('S&amp;P 500'!$E428,'Converted GISC'!$A$1:$C$159,2,FALSE)</f>
        <v>Capital Markets</v>
      </c>
    </row>
    <row r="429" spans="1:9" x14ac:dyDescent="0.25">
      <c r="A429" s="28" t="s">
        <v>1283</v>
      </c>
      <c r="B429" s="28" t="s">
        <v>1284</v>
      </c>
      <c r="C429" s="28" t="s">
        <v>106</v>
      </c>
      <c r="D429" s="28" t="s">
        <v>77</v>
      </c>
      <c r="E429" s="28" t="s">
        <v>1217</v>
      </c>
      <c r="F429" s="28" t="s">
        <v>767</v>
      </c>
      <c r="G429" s="29">
        <v>39771</v>
      </c>
      <c r="H429" s="30">
        <v>861878</v>
      </c>
      <c r="I429" s="28" t="str">
        <f>VLOOKUP('S&amp;P 500'!$E429,'Converted GISC'!$A$1:$C$159,2,FALSE)</f>
        <v>Commercial Services &amp; Supplies</v>
      </c>
    </row>
    <row r="430" spans="1:9" x14ac:dyDescent="0.25">
      <c r="A430" s="25" t="s">
        <v>1285</v>
      </c>
      <c r="B430" s="25" t="s">
        <v>1286</v>
      </c>
      <c r="C430" s="25" t="s">
        <v>106</v>
      </c>
      <c r="D430" s="25" t="s">
        <v>76</v>
      </c>
      <c r="E430" s="25" t="s">
        <v>110</v>
      </c>
      <c r="F430" s="25" t="s">
        <v>1287</v>
      </c>
      <c r="G430" s="26">
        <v>36872</v>
      </c>
      <c r="H430" s="27">
        <v>310764</v>
      </c>
      <c r="I430" s="25" t="str">
        <f>VLOOKUP('S&amp;P 500'!$E430,'Converted GISC'!$A$1:$C$159,2,FALSE)</f>
        <v>Health Care Equipment &amp; Supplies</v>
      </c>
    </row>
    <row r="431" spans="1:9" x14ac:dyDescent="0.25">
      <c r="A431" s="28" t="s">
        <v>1288</v>
      </c>
      <c r="B431" s="28" t="s">
        <v>1289</v>
      </c>
      <c r="C431" s="28" t="s">
        <v>106</v>
      </c>
      <c r="D431" s="28" t="s">
        <v>75</v>
      </c>
      <c r="E431" s="28" t="s">
        <v>336</v>
      </c>
      <c r="F431" s="28" t="s">
        <v>125</v>
      </c>
      <c r="G431" s="29">
        <v>32294</v>
      </c>
      <c r="H431" s="30">
        <v>750556</v>
      </c>
      <c r="I431" s="28" t="str">
        <f>VLOOKUP('S&amp;P 500'!$E431,'Converted GISC'!$A$1:$C$159,2,FALSE)</f>
        <v>Banks</v>
      </c>
    </row>
    <row r="432" spans="1:9" x14ac:dyDescent="0.25">
      <c r="A432" s="25" t="s">
        <v>1290</v>
      </c>
      <c r="B432" s="25" t="s">
        <v>1291</v>
      </c>
      <c r="C432" s="25" t="s">
        <v>106</v>
      </c>
      <c r="D432" s="25" t="s">
        <v>78</v>
      </c>
      <c r="E432" s="25" t="s">
        <v>128</v>
      </c>
      <c r="F432" s="25" t="s">
        <v>198</v>
      </c>
      <c r="G432" s="26">
        <v>37705</v>
      </c>
      <c r="H432" s="27">
        <v>849399</v>
      </c>
      <c r="I432" s="25" t="str">
        <f>VLOOKUP('S&amp;P 500'!$E432,'Converted GISC'!$A$1:$C$159,2,FALSE)</f>
        <v>Software</v>
      </c>
    </row>
    <row r="433" spans="1:9" x14ac:dyDescent="0.25">
      <c r="A433" s="28" t="s">
        <v>1292</v>
      </c>
      <c r="B433" s="28" t="s">
        <v>1293</v>
      </c>
      <c r="C433" s="28" t="s">
        <v>106</v>
      </c>
      <c r="D433" s="28" t="s">
        <v>75</v>
      </c>
      <c r="E433" s="28" t="s">
        <v>0</v>
      </c>
      <c r="F433" s="28" t="s">
        <v>446</v>
      </c>
      <c r="G433" s="29">
        <v>42326</v>
      </c>
      <c r="H433" s="30">
        <v>1601712</v>
      </c>
      <c r="I433" s="28" t="str">
        <f>VLOOKUP('S&amp;P 500'!$E433,'Converted GISC'!$A$1:$C$159,2,FALSE)</f>
        <v>Consumer Finance</v>
      </c>
    </row>
    <row r="434" spans="1:9" x14ac:dyDescent="0.25">
      <c r="A434" s="25" t="s">
        <v>1294</v>
      </c>
      <c r="B434" s="25" t="s">
        <v>1295</v>
      </c>
      <c r="C434" s="25" t="s">
        <v>106</v>
      </c>
      <c r="D434" s="25" t="s">
        <v>78</v>
      </c>
      <c r="E434" s="25" t="s">
        <v>128</v>
      </c>
      <c r="F434" s="25" t="s">
        <v>198</v>
      </c>
      <c r="G434" s="26">
        <v>42810</v>
      </c>
      <c r="H434" s="27">
        <v>883241</v>
      </c>
      <c r="I434" s="25" t="str">
        <f>VLOOKUP('S&amp;P 500'!$E434,'Converted GISC'!$A$1:$C$159,2,FALSE)</f>
        <v>Software</v>
      </c>
    </row>
    <row r="435" spans="1:9" x14ac:dyDescent="0.25">
      <c r="A435" s="28" t="s">
        <v>1296</v>
      </c>
      <c r="B435" s="28" t="s">
        <v>1297</v>
      </c>
      <c r="C435" s="28" t="s">
        <v>106</v>
      </c>
      <c r="D435" s="28" t="s">
        <v>73</v>
      </c>
      <c r="E435" s="28" t="s">
        <v>1298</v>
      </c>
      <c r="F435" s="28" t="s">
        <v>271</v>
      </c>
      <c r="G435" s="29">
        <v>31777</v>
      </c>
      <c r="H435" s="30">
        <v>96021</v>
      </c>
      <c r="I435" s="28" t="str">
        <f>VLOOKUP('S&amp;P 500'!$E435,'Converted GISC'!$A$1:$C$159,2,FALSE)</f>
        <v>Food &amp; Staples Retailing</v>
      </c>
    </row>
    <row r="436" spans="1:9" x14ac:dyDescent="0.25">
      <c r="A436" s="25" t="s">
        <v>1299</v>
      </c>
      <c r="B436" s="25" t="s">
        <v>1300</v>
      </c>
      <c r="C436" s="25" t="s">
        <v>106</v>
      </c>
      <c r="D436" s="25" t="s">
        <v>75</v>
      </c>
      <c r="E436" s="25" t="s">
        <v>148</v>
      </c>
      <c r="F436" s="25" t="s">
        <v>1301</v>
      </c>
      <c r="G436" s="26"/>
      <c r="H436" s="27">
        <v>1113169</v>
      </c>
      <c r="I436" s="25" t="str">
        <f>VLOOKUP('S&amp;P 500'!$E436,'Converted GISC'!$A$1:$C$159,2,FALSE)</f>
        <v>Capital Markets</v>
      </c>
    </row>
    <row r="437" spans="1:9" x14ac:dyDescent="0.25">
      <c r="A437" s="28" t="s">
        <v>1302</v>
      </c>
      <c r="B437" s="28" t="s">
        <v>1303</v>
      </c>
      <c r="C437" s="28" t="s">
        <v>106</v>
      </c>
      <c r="D437" s="28" t="s">
        <v>72</v>
      </c>
      <c r="E437" s="28" t="s">
        <v>772</v>
      </c>
      <c r="F437" s="28" t="s">
        <v>218</v>
      </c>
      <c r="G437" s="29"/>
      <c r="H437" s="30">
        <v>1116132</v>
      </c>
      <c r="I437" s="28" t="str">
        <f>VLOOKUP('S&amp;P 500'!$E437,'Converted GISC'!$A$1:$C$159,2,FALSE)</f>
        <v>Textiles, Apparel &amp; Luxury Goods</v>
      </c>
    </row>
    <row r="438" spans="1:9" x14ac:dyDescent="0.25">
      <c r="A438" s="25" t="s">
        <v>1304</v>
      </c>
      <c r="B438" s="25" t="s">
        <v>1305</v>
      </c>
      <c r="C438" s="25" t="s">
        <v>106</v>
      </c>
      <c r="D438" s="25" t="s">
        <v>72</v>
      </c>
      <c r="E438" s="25" t="s">
        <v>584</v>
      </c>
      <c r="F438" s="25" t="s">
        <v>230</v>
      </c>
      <c r="G438" s="26">
        <v>28125</v>
      </c>
      <c r="H438" s="27">
        <v>27419</v>
      </c>
      <c r="I438" s="25" t="str">
        <f>VLOOKUP('S&amp;P 500'!$E438,'Converted GISC'!$A$1:$C$159,2,FALSE)</f>
        <v>Multiline Retail</v>
      </c>
    </row>
    <row r="439" spans="1:9" x14ac:dyDescent="0.25">
      <c r="A439" s="28" t="s">
        <v>1306</v>
      </c>
      <c r="B439" s="28" t="s">
        <v>1307</v>
      </c>
      <c r="C439" s="28" t="s">
        <v>106</v>
      </c>
      <c r="D439" s="28" t="s">
        <v>78</v>
      </c>
      <c r="E439" s="28" t="s">
        <v>1308</v>
      </c>
      <c r="F439" s="28" t="s">
        <v>739</v>
      </c>
      <c r="G439" s="29">
        <v>40833</v>
      </c>
      <c r="H439" s="30">
        <v>1385157</v>
      </c>
      <c r="I439" s="28" t="str">
        <f>VLOOKUP('S&amp;P 500'!$E439,'Converted GISC'!$A$1:$C$159,2,FALSE)</f>
        <v>Electronic Equipment, Instruments &amp; Components</v>
      </c>
    </row>
    <row r="440" spans="1:9" x14ac:dyDescent="0.25">
      <c r="A440" s="25" t="s">
        <v>1309</v>
      </c>
      <c r="B440" s="25" t="s">
        <v>1310</v>
      </c>
      <c r="C440" s="25" t="s">
        <v>106</v>
      </c>
      <c r="D440" s="25" t="s">
        <v>74</v>
      </c>
      <c r="E440" s="25" t="s">
        <v>320</v>
      </c>
      <c r="F440" s="25" t="s">
        <v>265</v>
      </c>
      <c r="G440" s="26">
        <v>39969</v>
      </c>
      <c r="H440" s="27">
        <v>1681459</v>
      </c>
      <c r="I440" s="25" t="str">
        <f>VLOOKUP('S&amp;P 500'!$E440,'Converted GISC'!$A$1:$C$159,2,FALSE)</f>
        <v>Energy Equipment &amp; Services</v>
      </c>
    </row>
    <row r="441" spans="1:9" x14ac:dyDescent="0.25">
      <c r="A441" s="28" t="s">
        <v>1311</v>
      </c>
      <c r="B441" s="28" t="s">
        <v>1312</v>
      </c>
      <c r="C441" s="28" t="s">
        <v>106</v>
      </c>
      <c r="D441" s="28" t="s">
        <v>78</v>
      </c>
      <c r="E441" s="28" t="s">
        <v>132</v>
      </c>
      <c r="F441" s="28" t="s">
        <v>301</v>
      </c>
      <c r="G441" s="29"/>
      <c r="H441" s="30">
        <v>97476</v>
      </c>
      <c r="I441" s="28" t="str">
        <f>VLOOKUP('S&amp;P 500'!$E441,'Converted GISC'!$A$1:$C$159,2,FALSE)</f>
        <v>Semiconductors &amp; Semiconductor Equipment</v>
      </c>
    </row>
    <row r="442" spans="1:9" x14ac:dyDescent="0.25">
      <c r="A442" s="25" t="s">
        <v>1313</v>
      </c>
      <c r="B442" s="25" t="s">
        <v>1314</v>
      </c>
      <c r="C442" s="25" t="s">
        <v>106</v>
      </c>
      <c r="D442" s="25" t="s">
        <v>77</v>
      </c>
      <c r="E442" s="25" t="s">
        <v>42</v>
      </c>
      <c r="F442" s="25" t="s">
        <v>481</v>
      </c>
      <c r="G442" s="26">
        <v>28855</v>
      </c>
      <c r="H442" s="27">
        <v>217346</v>
      </c>
      <c r="I442" s="25" t="str">
        <f>VLOOKUP('S&amp;P 500'!$E442,'Converted GISC'!$A$1:$C$159,2,FALSE)</f>
        <v>Aerospace &amp; Defense</v>
      </c>
    </row>
    <row r="443" spans="1:9" x14ac:dyDescent="0.25">
      <c r="A443" s="28" t="s">
        <v>1315</v>
      </c>
      <c r="B443" s="28" t="s">
        <v>1316</v>
      </c>
      <c r="C443" s="28" t="s">
        <v>106</v>
      </c>
      <c r="D443" s="28" t="s">
        <v>76</v>
      </c>
      <c r="E443" s="28" t="s">
        <v>110</v>
      </c>
      <c r="F443" s="28" t="s">
        <v>1139</v>
      </c>
      <c r="G443" s="29"/>
      <c r="H443" s="30">
        <v>97745</v>
      </c>
      <c r="I443" s="28" t="str">
        <f>VLOOKUP('S&amp;P 500'!$E443,'Converted GISC'!$A$1:$C$159,2,FALSE)</f>
        <v>Health Care Equipment &amp; Supplies</v>
      </c>
    </row>
    <row r="444" spans="1:9" x14ac:dyDescent="0.25">
      <c r="A444" s="25" t="s">
        <v>1317</v>
      </c>
      <c r="B444" s="25" t="s">
        <v>1318</v>
      </c>
      <c r="C444" s="25" t="s">
        <v>106</v>
      </c>
      <c r="D444" s="25" t="s">
        <v>72</v>
      </c>
      <c r="E444" s="25" t="s">
        <v>772</v>
      </c>
      <c r="F444" s="25" t="s">
        <v>218</v>
      </c>
      <c r="G444" s="26">
        <v>36698</v>
      </c>
      <c r="H444" s="27">
        <v>98246</v>
      </c>
      <c r="I444" s="25" t="str">
        <f>VLOOKUP('S&amp;P 500'!$E444,'Converted GISC'!$A$1:$C$159,2,FALSE)</f>
        <v>Textiles, Apparel &amp; Luxury Goods</v>
      </c>
    </row>
    <row r="445" spans="1:9" x14ac:dyDescent="0.25">
      <c r="A445" s="28" t="s">
        <v>1319</v>
      </c>
      <c r="B445" s="28" t="s">
        <v>1320</v>
      </c>
      <c r="C445" s="28" t="s">
        <v>106</v>
      </c>
      <c r="D445" s="28" t="s">
        <v>72</v>
      </c>
      <c r="E445" s="28" t="s">
        <v>445</v>
      </c>
      <c r="F445" s="28" t="s">
        <v>218</v>
      </c>
      <c r="G445" s="29"/>
      <c r="H445" s="30">
        <v>1105705</v>
      </c>
      <c r="I445" s="28" t="str">
        <f>VLOOKUP('S&amp;P 500'!$E445,'Converted GISC'!$A$1:$C$159,2,FALSE)</f>
        <v>Media</v>
      </c>
    </row>
    <row r="446" spans="1:9" x14ac:dyDescent="0.25">
      <c r="A446" s="25" t="s">
        <v>1321</v>
      </c>
      <c r="B446" s="25" t="s">
        <v>1322</v>
      </c>
      <c r="C446" s="25" t="s">
        <v>106</v>
      </c>
      <c r="D446" s="25" t="s">
        <v>72</v>
      </c>
      <c r="E446" s="25" t="s">
        <v>717</v>
      </c>
      <c r="F446" s="25" t="s">
        <v>1323</v>
      </c>
      <c r="G446" s="26">
        <v>31320</v>
      </c>
      <c r="H446" s="27">
        <v>109198</v>
      </c>
      <c r="I446" s="25" t="str">
        <f>VLOOKUP('S&amp;P 500'!$E446,'Converted GISC'!$A$1:$C$159,2,FALSE)</f>
        <v>Specialty Retail</v>
      </c>
    </row>
    <row r="447" spans="1:9" x14ac:dyDescent="0.25">
      <c r="A447" s="28" t="s">
        <v>1324</v>
      </c>
      <c r="B447" s="28" t="s">
        <v>1325</v>
      </c>
      <c r="C447" s="28" t="s">
        <v>106</v>
      </c>
      <c r="D447" s="28" t="s">
        <v>75</v>
      </c>
      <c r="E447" s="28" t="s">
        <v>152</v>
      </c>
      <c r="F447" s="28" t="s">
        <v>1326</v>
      </c>
      <c r="G447" s="29">
        <v>32628</v>
      </c>
      <c r="H447" s="30">
        <v>320335</v>
      </c>
      <c r="I447" s="28" t="str">
        <f>VLOOKUP('S&amp;P 500'!$E447,'Converted GISC'!$A$1:$C$159,2,FALSE)</f>
        <v>Insurance</v>
      </c>
    </row>
    <row r="448" spans="1:9" x14ac:dyDescent="0.25">
      <c r="A448" s="25" t="s">
        <v>1327</v>
      </c>
      <c r="B448" s="25" t="s">
        <v>1328</v>
      </c>
      <c r="C448" s="25" t="s">
        <v>106</v>
      </c>
      <c r="D448" s="25" t="s">
        <v>78</v>
      </c>
      <c r="E448" s="25" t="s">
        <v>59</v>
      </c>
      <c r="F448" s="25" t="s">
        <v>153</v>
      </c>
      <c r="G448" s="26">
        <v>39449</v>
      </c>
      <c r="H448" s="27">
        <v>721683</v>
      </c>
      <c r="I448" s="25" t="str">
        <f>VLOOKUP('S&amp;P 500'!$E448,'Converted GISC'!$A$1:$C$159,2,FALSE)</f>
        <v>Internet Software &amp; Services</v>
      </c>
    </row>
    <row r="449" spans="1:9" x14ac:dyDescent="0.25">
      <c r="A449" s="28" t="s">
        <v>1329</v>
      </c>
      <c r="B449" s="28" t="s">
        <v>1330</v>
      </c>
      <c r="C449" s="28" t="s">
        <v>106</v>
      </c>
      <c r="D449" s="28" t="s">
        <v>72</v>
      </c>
      <c r="E449" s="28" t="s">
        <v>310</v>
      </c>
      <c r="F449" s="28" t="s">
        <v>1331</v>
      </c>
      <c r="G449" s="29">
        <v>41663</v>
      </c>
      <c r="H449" s="30">
        <v>916365</v>
      </c>
      <c r="I449" s="28" t="str">
        <f>VLOOKUP('S&amp;P 500'!$E449,'Converted GISC'!$A$1:$C$159,2,FALSE)</f>
        <v>Specialty Retail</v>
      </c>
    </row>
    <row r="450" spans="1:9" x14ac:dyDescent="0.25">
      <c r="A450" s="25" t="s">
        <v>1332</v>
      </c>
      <c r="B450" s="25" t="s">
        <v>1333</v>
      </c>
      <c r="C450" s="25" t="s">
        <v>106</v>
      </c>
      <c r="D450" s="25" t="s">
        <v>77</v>
      </c>
      <c r="E450" s="25" t="s">
        <v>42</v>
      </c>
      <c r="F450" s="25" t="s">
        <v>898</v>
      </c>
      <c r="G450" s="26">
        <v>42524</v>
      </c>
      <c r="H450" s="27">
        <v>1260221</v>
      </c>
      <c r="I450" s="25" t="str">
        <f>VLOOKUP('S&amp;P 500'!$E450,'Converted GISC'!$A$1:$C$159,2,FALSE)</f>
        <v>Aerospace &amp; Defense</v>
      </c>
    </row>
    <row r="451" spans="1:9" x14ac:dyDescent="0.25">
      <c r="A451" s="28" t="s">
        <v>1334</v>
      </c>
      <c r="B451" s="28" t="s">
        <v>1335</v>
      </c>
      <c r="C451" s="28" t="s">
        <v>106</v>
      </c>
      <c r="D451" s="28" t="s">
        <v>75</v>
      </c>
      <c r="E451" s="28" t="s">
        <v>194</v>
      </c>
      <c r="F451" s="28" t="s">
        <v>218</v>
      </c>
      <c r="G451" s="29">
        <v>37489</v>
      </c>
      <c r="H451" s="30">
        <v>86312</v>
      </c>
      <c r="I451" s="28" t="str">
        <f>VLOOKUP('S&amp;P 500'!$E451,'Converted GISC'!$A$1:$C$159,2,FALSE)</f>
        <v>Insurance</v>
      </c>
    </row>
    <row r="452" spans="1:9" x14ac:dyDescent="0.25">
      <c r="A452" s="25" t="s">
        <v>1336</v>
      </c>
      <c r="B452" s="25" t="s">
        <v>1337</v>
      </c>
      <c r="C452" s="25" t="s">
        <v>106</v>
      </c>
      <c r="D452" s="25" t="s">
        <v>72</v>
      </c>
      <c r="E452" s="25" t="s">
        <v>206</v>
      </c>
      <c r="F452" s="25" t="s">
        <v>1338</v>
      </c>
      <c r="G452" s="26">
        <v>40898</v>
      </c>
      <c r="H452" s="27">
        <v>1526520</v>
      </c>
      <c r="I452" s="25" t="str">
        <f>VLOOKUP('S&amp;P 500'!$E452,'Converted GISC'!$A$1:$C$159,2,FALSE)</f>
        <v>Internet &amp; Direct Marketing Retail</v>
      </c>
    </row>
    <row r="453" spans="1:9" x14ac:dyDescent="0.25">
      <c r="A453" s="28" t="s">
        <v>1339</v>
      </c>
      <c r="B453" s="28" t="s">
        <v>1340</v>
      </c>
      <c r="C453" s="28" t="s">
        <v>106</v>
      </c>
      <c r="D453" s="28" t="s">
        <v>72</v>
      </c>
      <c r="E453" s="28" t="s">
        <v>1066</v>
      </c>
      <c r="F453" s="28" t="s">
        <v>218</v>
      </c>
      <c r="G453" s="29">
        <v>41456</v>
      </c>
      <c r="H453" s="30">
        <v>1308161</v>
      </c>
      <c r="I453" s="28" t="str">
        <f>VLOOKUP('S&amp;P 500'!$E453,'Converted GISC'!$A$1:$C$159,2,FALSE)</f>
        <v>Media</v>
      </c>
    </row>
    <row r="454" spans="1:9" x14ac:dyDescent="0.25">
      <c r="A454" s="25" t="s">
        <v>1341</v>
      </c>
      <c r="B454" s="25" t="s">
        <v>1342</v>
      </c>
      <c r="C454" s="25" t="s">
        <v>106</v>
      </c>
      <c r="D454" s="25" t="s">
        <v>72</v>
      </c>
      <c r="E454" s="25" t="s">
        <v>1066</v>
      </c>
      <c r="F454" s="25" t="s">
        <v>218</v>
      </c>
      <c r="G454" s="26">
        <v>42265</v>
      </c>
      <c r="H454" s="27">
        <v>1308161</v>
      </c>
      <c r="I454" s="25" t="str">
        <f>VLOOKUP('S&amp;P 500'!$E454,'Converted GISC'!$A$1:$C$159,2,FALSE)</f>
        <v>Media</v>
      </c>
    </row>
    <row r="455" spans="1:9" x14ac:dyDescent="0.25">
      <c r="A455" s="28" t="s">
        <v>1343</v>
      </c>
      <c r="B455" s="28" t="s">
        <v>1344</v>
      </c>
      <c r="C455" s="28" t="s">
        <v>106</v>
      </c>
      <c r="D455" s="28" t="s">
        <v>73</v>
      </c>
      <c r="E455" s="28" t="s">
        <v>394</v>
      </c>
      <c r="F455" s="28" t="s">
        <v>1345</v>
      </c>
      <c r="G455" s="29"/>
      <c r="H455" s="30">
        <v>100493</v>
      </c>
      <c r="I455" s="28" t="str">
        <f>VLOOKUP('S&amp;P 500'!$E455,'Converted GISC'!$A$1:$C$159,2,FALSE)</f>
        <v>Food Products</v>
      </c>
    </row>
    <row r="456" spans="1:9" x14ac:dyDescent="0.25">
      <c r="A456" s="25" t="s">
        <v>1346</v>
      </c>
      <c r="B456" s="25" t="s">
        <v>1347</v>
      </c>
      <c r="C456" s="25" t="s">
        <v>106</v>
      </c>
      <c r="D456" s="25" t="s">
        <v>80</v>
      </c>
      <c r="E456" s="25" t="s">
        <v>274</v>
      </c>
      <c r="F456" s="25" t="s">
        <v>1348</v>
      </c>
      <c r="G456" s="26">
        <v>42436</v>
      </c>
      <c r="H456" s="27">
        <v>74208</v>
      </c>
      <c r="I456" s="25" t="str">
        <f>VLOOKUP('S&amp;P 500'!$E456,'Converted GISC'!$A$1:$C$159,2,FALSE)</f>
        <v>Equity Real Estate Investment Trusts (REITs)</v>
      </c>
    </row>
    <row r="457" spans="1:9" x14ac:dyDescent="0.25">
      <c r="A457" s="28" t="s">
        <v>1349</v>
      </c>
      <c r="B457" s="28" t="s">
        <v>1350</v>
      </c>
      <c r="C457" s="28" t="s">
        <v>106</v>
      </c>
      <c r="D457" s="28" t="s">
        <v>72</v>
      </c>
      <c r="E457" s="28" t="s">
        <v>310</v>
      </c>
      <c r="F457" s="28" t="s">
        <v>1351</v>
      </c>
      <c r="G457" s="29">
        <v>42478</v>
      </c>
      <c r="H457" s="30">
        <v>1403568</v>
      </c>
      <c r="I457" s="28" t="str">
        <f>VLOOKUP('S&amp;P 500'!$E457,'Converted GISC'!$A$1:$C$159,2,FALSE)</f>
        <v>Specialty Retail</v>
      </c>
    </row>
    <row r="458" spans="1:9" x14ac:dyDescent="0.25">
      <c r="A458" s="25" t="s">
        <v>1352</v>
      </c>
      <c r="B458" s="25" t="s">
        <v>1353</v>
      </c>
      <c r="C458" s="25" t="s">
        <v>106</v>
      </c>
      <c r="D458" s="25" t="s">
        <v>75</v>
      </c>
      <c r="E458" s="25" t="s">
        <v>327</v>
      </c>
      <c r="F458" s="25" t="s">
        <v>230</v>
      </c>
      <c r="G458" s="26"/>
      <c r="H458" s="27">
        <v>36104</v>
      </c>
      <c r="I458" s="25" t="str">
        <f>VLOOKUP('S&amp;P 500'!$E458,'Converted GISC'!$A$1:$C$159,2,FALSE)</f>
        <v>Banks</v>
      </c>
    </row>
    <row r="459" spans="1:9" x14ac:dyDescent="0.25">
      <c r="A459" s="28" t="s">
        <v>1354</v>
      </c>
      <c r="B459" s="28" t="s">
        <v>1355</v>
      </c>
      <c r="C459" s="28" t="s">
        <v>106</v>
      </c>
      <c r="D459" s="28" t="s">
        <v>72</v>
      </c>
      <c r="E459" s="28" t="s">
        <v>772</v>
      </c>
      <c r="F459" s="28" t="s">
        <v>1301</v>
      </c>
      <c r="G459" s="29">
        <v>42454</v>
      </c>
      <c r="H459" s="30">
        <v>1336917</v>
      </c>
      <c r="I459" s="28" t="str">
        <f>VLOOKUP('S&amp;P 500'!$E459,'Converted GISC'!$A$1:$C$159,2,FALSE)</f>
        <v>Textiles, Apparel &amp; Luxury Goods</v>
      </c>
    </row>
    <row r="460" spans="1:9" x14ac:dyDescent="0.25">
      <c r="A460" s="25" t="s">
        <v>1356</v>
      </c>
      <c r="B460" s="25" t="s">
        <v>1357</v>
      </c>
      <c r="C460" s="25" t="s">
        <v>106</v>
      </c>
      <c r="D460" s="25" t="s">
        <v>72</v>
      </c>
      <c r="E460" s="25" t="s">
        <v>772</v>
      </c>
      <c r="F460" s="25" t="s">
        <v>1301</v>
      </c>
      <c r="G460" s="26">
        <v>41760</v>
      </c>
      <c r="H460" s="27">
        <v>1336917</v>
      </c>
      <c r="I460" s="25" t="str">
        <f>VLOOKUP('S&amp;P 500'!$E460,'Converted GISC'!$A$1:$C$159,2,FALSE)</f>
        <v>Textiles, Apparel &amp; Luxury Goods</v>
      </c>
    </row>
    <row r="461" spans="1:9" x14ac:dyDescent="0.25">
      <c r="A461" s="28" t="s">
        <v>1358</v>
      </c>
      <c r="B461" s="28" t="s">
        <v>1359</v>
      </c>
      <c r="C461" s="28" t="s">
        <v>106</v>
      </c>
      <c r="D461" s="28" t="s">
        <v>77</v>
      </c>
      <c r="E461" s="28" t="s">
        <v>536</v>
      </c>
      <c r="F461" s="28" t="s">
        <v>344</v>
      </c>
      <c r="G461" s="29"/>
      <c r="H461" s="30">
        <v>100885</v>
      </c>
      <c r="I461" s="28" t="str">
        <f>VLOOKUP('S&amp;P 500'!$E461,'Converted GISC'!$A$1:$C$159,2,FALSE)</f>
        <v>Road &amp; Rail</v>
      </c>
    </row>
    <row r="462" spans="1:9" x14ac:dyDescent="0.25">
      <c r="A462" s="25" t="s">
        <v>1360</v>
      </c>
      <c r="B462" s="25" t="s">
        <v>1361</v>
      </c>
      <c r="C462" s="25" t="s">
        <v>106</v>
      </c>
      <c r="D462" s="25" t="s">
        <v>77</v>
      </c>
      <c r="E462" s="25" t="s">
        <v>44</v>
      </c>
      <c r="F462" s="25" t="s">
        <v>359</v>
      </c>
      <c r="G462" s="26">
        <v>42250</v>
      </c>
      <c r="H462" s="27">
        <v>100517</v>
      </c>
      <c r="I462" s="25" t="str">
        <f>VLOOKUP('S&amp;P 500'!$E462,'Converted GISC'!$A$1:$C$159,2,FALSE)</f>
        <v>Airlines</v>
      </c>
    </row>
    <row r="463" spans="1:9" x14ac:dyDescent="0.25">
      <c r="A463" s="28" t="s">
        <v>1362</v>
      </c>
      <c r="B463" s="28" t="s">
        <v>1363</v>
      </c>
      <c r="C463" s="28" t="s">
        <v>106</v>
      </c>
      <c r="D463" s="28" t="s">
        <v>76</v>
      </c>
      <c r="E463" s="28" t="s">
        <v>144</v>
      </c>
      <c r="F463" s="28" t="s">
        <v>1364</v>
      </c>
      <c r="G463" s="29">
        <v>34516</v>
      </c>
      <c r="H463" s="30">
        <v>731766</v>
      </c>
      <c r="I463" s="28" t="str">
        <f>VLOOKUP('S&amp;P 500'!$E463,'Converted GISC'!$A$1:$C$159,2,FALSE)</f>
        <v>Health Care Providers &amp; Services</v>
      </c>
    </row>
    <row r="464" spans="1:9" x14ac:dyDescent="0.25">
      <c r="A464" s="25" t="s">
        <v>1365</v>
      </c>
      <c r="B464" s="25" t="s">
        <v>1366</v>
      </c>
      <c r="C464" s="25" t="s">
        <v>106</v>
      </c>
      <c r="D464" s="25" t="s">
        <v>77</v>
      </c>
      <c r="E464" s="25" t="s">
        <v>43</v>
      </c>
      <c r="F464" s="25" t="s">
        <v>125</v>
      </c>
      <c r="G464" s="26">
        <v>37459</v>
      </c>
      <c r="H464" s="27">
        <v>1090727</v>
      </c>
      <c r="I464" s="25" t="str">
        <f>VLOOKUP('S&amp;P 500'!$E464,'Converted GISC'!$A$1:$C$159,2,FALSE)</f>
        <v>Air Freight &amp; Logistics</v>
      </c>
    </row>
    <row r="465" spans="1:9" x14ac:dyDescent="0.25">
      <c r="A465" s="28" t="s">
        <v>1367</v>
      </c>
      <c r="B465" s="28" t="s">
        <v>1368</v>
      </c>
      <c r="C465" s="28" t="s">
        <v>106</v>
      </c>
      <c r="D465" s="28" t="s">
        <v>77</v>
      </c>
      <c r="E465" s="28" t="s">
        <v>54</v>
      </c>
      <c r="F465" s="28" t="s">
        <v>446</v>
      </c>
      <c r="G465" s="29">
        <v>41902</v>
      </c>
      <c r="H465" s="30">
        <v>1067701</v>
      </c>
      <c r="I465" s="28" t="str">
        <f>VLOOKUP('S&amp;P 500'!$E465,'Converted GISC'!$A$1:$C$159,2,FALSE)</f>
        <v>Trading Companies &amp; Distributors</v>
      </c>
    </row>
    <row r="466" spans="1:9" x14ac:dyDescent="0.25">
      <c r="A466" s="25" t="s">
        <v>1369</v>
      </c>
      <c r="B466" s="25" t="s">
        <v>1370</v>
      </c>
      <c r="C466" s="25" t="s">
        <v>106</v>
      </c>
      <c r="D466" s="25" t="s">
        <v>77</v>
      </c>
      <c r="E466" s="25" t="s">
        <v>42</v>
      </c>
      <c r="F466" s="25" t="s">
        <v>145</v>
      </c>
      <c r="G466" s="26"/>
      <c r="H466" s="27">
        <v>101829</v>
      </c>
      <c r="I466" s="25" t="str">
        <f>VLOOKUP('S&amp;P 500'!$E466,'Converted GISC'!$A$1:$C$159,2,FALSE)</f>
        <v>Aerospace &amp; Defense</v>
      </c>
    </row>
    <row r="467" spans="1:9" x14ac:dyDescent="0.25">
      <c r="A467" s="28" t="s">
        <v>1371</v>
      </c>
      <c r="B467" s="28" t="s">
        <v>1372</v>
      </c>
      <c r="C467" s="28" t="s">
        <v>106</v>
      </c>
      <c r="D467" s="28" t="s">
        <v>76</v>
      </c>
      <c r="E467" s="28" t="s">
        <v>557</v>
      </c>
      <c r="F467" s="28" t="s">
        <v>1373</v>
      </c>
      <c r="G467" s="29">
        <v>41902</v>
      </c>
      <c r="H467" s="30">
        <v>352915</v>
      </c>
      <c r="I467" s="28" t="str">
        <f>VLOOKUP('S&amp;P 500'!$E467,'Converted GISC'!$A$1:$C$159,2,FALSE)</f>
        <v>Health Care Providers &amp; Services</v>
      </c>
    </row>
    <row r="468" spans="1:9" x14ac:dyDescent="0.25">
      <c r="A468" s="25" t="s">
        <v>1374</v>
      </c>
      <c r="B468" s="25" t="s">
        <v>1375</v>
      </c>
      <c r="C468" s="25" t="s">
        <v>106</v>
      </c>
      <c r="D468" s="25" t="s">
        <v>75</v>
      </c>
      <c r="E468" s="25" t="s">
        <v>152</v>
      </c>
      <c r="F468" s="25" t="s">
        <v>1376</v>
      </c>
      <c r="G468" s="26">
        <v>34394</v>
      </c>
      <c r="H468" s="27">
        <v>5513</v>
      </c>
      <c r="I468" s="25" t="str">
        <f>VLOOKUP('S&amp;P 500'!$E468,'Converted GISC'!$A$1:$C$159,2,FALSE)</f>
        <v>Insurance</v>
      </c>
    </row>
    <row r="469" spans="1:9" x14ac:dyDescent="0.25">
      <c r="A469" s="28" t="s">
        <v>1377</v>
      </c>
      <c r="B469" s="28" t="s">
        <v>1378</v>
      </c>
      <c r="C469" s="28" t="s">
        <v>106</v>
      </c>
      <c r="D469" s="28" t="s">
        <v>72</v>
      </c>
      <c r="E469" s="28" t="s">
        <v>772</v>
      </c>
      <c r="F469" s="28" t="s">
        <v>1188</v>
      </c>
      <c r="G469" s="29">
        <v>29036</v>
      </c>
      <c r="H469" s="30">
        <v>103379</v>
      </c>
      <c r="I469" s="28" t="str">
        <f>VLOOKUP('S&amp;P 500'!$E469,'Converted GISC'!$A$1:$C$159,2,FALSE)</f>
        <v>Textiles, Apparel &amp; Luxury Goods</v>
      </c>
    </row>
    <row r="470" spans="1:9" x14ac:dyDescent="0.25">
      <c r="A470" s="25" t="s">
        <v>1379</v>
      </c>
      <c r="B470" s="25" t="s">
        <v>1380</v>
      </c>
      <c r="C470" s="25" t="s">
        <v>106</v>
      </c>
      <c r="D470" s="25" t="s">
        <v>74</v>
      </c>
      <c r="E470" s="25" t="s">
        <v>254</v>
      </c>
      <c r="F470" s="25" t="s">
        <v>255</v>
      </c>
      <c r="G470" s="26"/>
      <c r="H470" s="27">
        <v>1035002</v>
      </c>
      <c r="I470" s="25" t="str">
        <f>VLOOKUP('S&amp;P 500'!$E470,'Converted GISC'!$A$1:$C$159,2,FALSE)</f>
        <v>Oil, Gas &amp; Consumable Fuels</v>
      </c>
    </row>
    <row r="471" spans="1:9" x14ac:dyDescent="0.25">
      <c r="A471" s="28" t="s">
        <v>1381</v>
      </c>
      <c r="B471" s="28" t="s">
        <v>1382</v>
      </c>
      <c r="C471" s="28" t="s">
        <v>106</v>
      </c>
      <c r="D471" s="28" t="s">
        <v>76</v>
      </c>
      <c r="E471" s="28" t="s">
        <v>110</v>
      </c>
      <c r="F471" s="28" t="s">
        <v>654</v>
      </c>
      <c r="G471" s="29">
        <v>39125</v>
      </c>
      <c r="H471" s="30">
        <v>203527</v>
      </c>
      <c r="I471" s="28" t="str">
        <f>VLOOKUP('S&amp;P 500'!$E471,'Converted GISC'!$A$1:$C$159,2,FALSE)</f>
        <v>Health Care Equipment &amp; Supplies</v>
      </c>
    </row>
    <row r="472" spans="1:9" x14ac:dyDescent="0.25">
      <c r="A472" s="25" t="s">
        <v>1383</v>
      </c>
      <c r="B472" s="25" t="s">
        <v>1384</v>
      </c>
      <c r="C472" s="25" t="s">
        <v>106</v>
      </c>
      <c r="D472" s="25" t="s">
        <v>80</v>
      </c>
      <c r="E472" s="25" t="s">
        <v>788</v>
      </c>
      <c r="F472" s="25" t="s">
        <v>359</v>
      </c>
      <c r="G472" s="26">
        <v>39876</v>
      </c>
      <c r="H472" s="27">
        <v>740260</v>
      </c>
      <c r="I472" s="25" t="str">
        <f>VLOOKUP('S&amp;P 500'!$E472,'Converted GISC'!$A$1:$C$159,2,FALSE)</f>
        <v>Equity Real Estate Investment Trusts (REITs)</v>
      </c>
    </row>
    <row r="473" spans="1:9" x14ac:dyDescent="0.25">
      <c r="A473" s="28" t="s">
        <v>1385</v>
      </c>
      <c r="B473" s="28" t="s">
        <v>1386</v>
      </c>
      <c r="C473" s="28" t="s">
        <v>106</v>
      </c>
      <c r="D473" s="28" t="s">
        <v>78</v>
      </c>
      <c r="E473" s="28" t="s">
        <v>59</v>
      </c>
      <c r="F473" s="28" t="s">
        <v>1387</v>
      </c>
      <c r="G473" s="29">
        <v>38749</v>
      </c>
      <c r="H473" s="30">
        <v>1014473</v>
      </c>
      <c r="I473" s="28" t="str">
        <f>VLOOKUP('S&amp;P 500'!$E473,'Converted GISC'!$A$1:$C$159,2,FALSE)</f>
        <v>Internet Software &amp; Services</v>
      </c>
    </row>
    <row r="474" spans="1:9" x14ac:dyDescent="0.25">
      <c r="A474" s="25" t="s">
        <v>1388</v>
      </c>
      <c r="B474" s="25" t="s">
        <v>1389</v>
      </c>
      <c r="C474" s="25" t="s">
        <v>106</v>
      </c>
      <c r="D474" s="25" t="s">
        <v>77</v>
      </c>
      <c r="E474" s="25" t="s">
        <v>647</v>
      </c>
      <c r="F474" s="25" t="s">
        <v>1390</v>
      </c>
      <c r="G474" s="26">
        <v>42285</v>
      </c>
      <c r="H474" s="27">
        <v>1442145</v>
      </c>
      <c r="I474" s="25" t="str">
        <f>VLOOKUP('S&amp;P 500'!$E474,'Converted GISC'!$A$1:$C$159,2,FALSE)</f>
        <v>Professional Services</v>
      </c>
    </row>
    <row r="475" spans="1:9" x14ac:dyDescent="0.25">
      <c r="A475" s="28" t="s">
        <v>1391</v>
      </c>
      <c r="B475" s="28" t="s">
        <v>1392</v>
      </c>
      <c r="C475" s="28" t="s">
        <v>106</v>
      </c>
      <c r="D475" s="28" t="s">
        <v>81</v>
      </c>
      <c r="E475" s="28" t="s">
        <v>300</v>
      </c>
      <c r="F475" s="28" t="s">
        <v>218</v>
      </c>
      <c r="G475" s="29">
        <v>30650</v>
      </c>
      <c r="H475" s="30">
        <v>732712</v>
      </c>
      <c r="I475" s="28" t="str">
        <f>VLOOKUP('S&amp;P 500'!$E475,'Converted GISC'!$A$1:$C$159,2,FALSE)</f>
        <v>Diversified Telecommunication Services</v>
      </c>
    </row>
    <row r="476" spans="1:9" x14ac:dyDescent="0.25">
      <c r="A476" s="25" t="s">
        <v>1393</v>
      </c>
      <c r="B476" s="25" t="s">
        <v>1394</v>
      </c>
      <c r="C476" s="25" t="s">
        <v>106</v>
      </c>
      <c r="D476" s="25" t="s">
        <v>76</v>
      </c>
      <c r="E476" s="25" t="s">
        <v>36</v>
      </c>
      <c r="F476" s="25" t="s">
        <v>163</v>
      </c>
      <c r="G476" s="26">
        <v>41540</v>
      </c>
      <c r="H476" s="27">
        <v>875320</v>
      </c>
      <c r="I476" s="25" t="str">
        <f>VLOOKUP('S&amp;P 500'!$E476,'Converted GISC'!$A$1:$C$159,2,FALSE)</f>
        <v>Biotechnology</v>
      </c>
    </row>
    <row r="477" spans="1:9" x14ac:dyDescent="0.25">
      <c r="A477" s="28" t="s">
        <v>1395</v>
      </c>
      <c r="B477" s="28" t="s">
        <v>1396</v>
      </c>
      <c r="C477" s="28" t="s">
        <v>106</v>
      </c>
      <c r="D477" s="28" t="s">
        <v>72</v>
      </c>
      <c r="E477" s="28" t="s">
        <v>445</v>
      </c>
      <c r="F477" s="28" t="s">
        <v>218</v>
      </c>
      <c r="G477" s="29"/>
      <c r="H477" s="30">
        <v>1339947</v>
      </c>
      <c r="I477" s="28" t="str">
        <f>VLOOKUP('S&amp;P 500'!$E477,'Converted GISC'!$A$1:$C$159,2,FALSE)</f>
        <v>Media</v>
      </c>
    </row>
    <row r="478" spans="1:9" x14ac:dyDescent="0.25">
      <c r="A478" s="25" t="s">
        <v>1397</v>
      </c>
      <c r="B478" s="25" t="s">
        <v>1398</v>
      </c>
      <c r="C478" s="25" t="s">
        <v>106</v>
      </c>
      <c r="D478" s="25" t="s">
        <v>78</v>
      </c>
      <c r="E478" s="25" t="s">
        <v>59</v>
      </c>
      <c r="F478" s="25" t="s">
        <v>442</v>
      </c>
      <c r="G478" s="26">
        <v>40168</v>
      </c>
      <c r="H478" s="27">
        <v>1403161</v>
      </c>
      <c r="I478" s="25" t="str">
        <f>VLOOKUP('S&amp;P 500'!$E478,'Converted GISC'!$A$1:$C$159,2,FALSE)</f>
        <v>Internet Software &amp; Services</v>
      </c>
    </row>
    <row r="479" spans="1:9" x14ac:dyDescent="0.25">
      <c r="A479" s="28" t="s">
        <v>1399</v>
      </c>
      <c r="B479" s="28" t="s">
        <v>1400</v>
      </c>
      <c r="C479" s="28" t="s">
        <v>106</v>
      </c>
      <c r="D479" s="28" t="s">
        <v>80</v>
      </c>
      <c r="E479" s="28" t="s">
        <v>173</v>
      </c>
      <c r="F479" s="28" t="s">
        <v>218</v>
      </c>
      <c r="G479" s="29"/>
      <c r="H479" s="30">
        <v>899689</v>
      </c>
      <c r="I479" s="28" t="str">
        <f>VLOOKUP('S&amp;P 500'!$E479,'Converted GISC'!$A$1:$C$159,2,FALSE)</f>
        <v>Equity Real Estate Investment Trusts (REITs)</v>
      </c>
    </row>
    <row r="480" spans="1:9" x14ac:dyDescent="0.25">
      <c r="A480" s="25" t="s">
        <v>1401</v>
      </c>
      <c r="B480" s="25" t="s">
        <v>1402</v>
      </c>
      <c r="C480" s="25" t="s">
        <v>106</v>
      </c>
      <c r="D480" s="25" t="s">
        <v>79</v>
      </c>
      <c r="E480" s="25" t="s">
        <v>66</v>
      </c>
      <c r="F480" s="25" t="s">
        <v>1214</v>
      </c>
      <c r="G480" s="26">
        <v>36341</v>
      </c>
      <c r="H480" s="27">
        <v>1396009</v>
      </c>
      <c r="I480" s="25" t="str">
        <f>VLOOKUP('S&amp;P 500'!$E480,'Converted GISC'!$A$1:$C$159,2,FALSE)</f>
        <v>Construction Materials</v>
      </c>
    </row>
    <row r="481" spans="1:9" x14ac:dyDescent="0.25">
      <c r="A481" s="28" t="s">
        <v>1403</v>
      </c>
      <c r="B481" s="28" t="s">
        <v>1404</v>
      </c>
      <c r="C481" s="28" t="s">
        <v>106</v>
      </c>
      <c r="D481" s="28" t="s">
        <v>73</v>
      </c>
      <c r="E481" s="28" t="s">
        <v>525</v>
      </c>
      <c r="F481" s="28" t="s">
        <v>1405</v>
      </c>
      <c r="G481" s="29">
        <v>30194</v>
      </c>
      <c r="H481" s="30">
        <v>104169</v>
      </c>
      <c r="I481" s="28" t="str">
        <f>VLOOKUP('S&amp;P 500'!$E481,'Converted GISC'!$A$1:$C$159,2,FALSE)</f>
        <v>Food &amp; Staples Retailing</v>
      </c>
    </row>
    <row r="482" spans="1:9" x14ac:dyDescent="0.25">
      <c r="A482" s="25" t="s">
        <v>1406</v>
      </c>
      <c r="B482" s="25" t="s">
        <v>1407</v>
      </c>
      <c r="C482" s="25" t="s">
        <v>106</v>
      </c>
      <c r="D482" s="25" t="s">
        <v>73</v>
      </c>
      <c r="E482" s="25" t="s">
        <v>544</v>
      </c>
      <c r="F482" s="25" t="s">
        <v>333</v>
      </c>
      <c r="G482" s="26">
        <v>29220</v>
      </c>
      <c r="H482" s="27">
        <v>1618921</v>
      </c>
      <c r="I482" s="25" t="str">
        <f>VLOOKUP('S&amp;P 500'!$E482,'Converted GISC'!$A$1:$C$159,2,FALSE)</f>
        <v>Food &amp; Staples Retailing</v>
      </c>
    </row>
    <row r="483" spans="1:9" x14ac:dyDescent="0.25">
      <c r="A483" s="28" t="s">
        <v>1408</v>
      </c>
      <c r="B483" s="28" t="s">
        <v>1409</v>
      </c>
      <c r="C483" s="28" t="s">
        <v>106</v>
      </c>
      <c r="D483" s="28" t="s">
        <v>72</v>
      </c>
      <c r="E483" s="28" t="s">
        <v>445</v>
      </c>
      <c r="F483" s="28" t="s">
        <v>1410</v>
      </c>
      <c r="G483" s="29">
        <v>27941</v>
      </c>
      <c r="H483" s="30">
        <v>1001039</v>
      </c>
      <c r="I483" s="28" t="str">
        <f>VLOOKUP('S&amp;P 500'!$E483,'Converted GISC'!$A$1:$C$159,2,FALSE)</f>
        <v>Media</v>
      </c>
    </row>
    <row r="484" spans="1:9" x14ac:dyDescent="0.25">
      <c r="A484" s="25" t="s">
        <v>1411</v>
      </c>
      <c r="B484" s="25" t="s">
        <v>1412</v>
      </c>
      <c r="C484" s="25" t="s">
        <v>106</v>
      </c>
      <c r="D484" s="25" t="s">
        <v>77</v>
      </c>
      <c r="E484" s="25" t="s">
        <v>1217</v>
      </c>
      <c r="F484" s="25" t="s">
        <v>271</v>
      </c>
      <c r="G484" s="26"/>
      <c r="H484" s="27">
        <v>823768</v>
      </c>
      <c r="I484" s="25" t="str">
        <f>VLOOKUP('S&amp;P 500'!$E484,'Converted GISC'!$A$1:$C$159,2,FALSE)</f>
        <v>Commercial Services &amp; Supplies</v>
      </c>
    </row>
    <row r="485" spans="1:9" x14ac:dyDescent="0.25">
      <c r="A485" s="28" t="s">
        <v>1413</v>
      </c>
      <c r="B485" s="28" t="s">
        <v>1414</v>
      </c>
      <c r="C485" s="28" t="s">
        <v>106</v>
      </c>
      <c r="D485" s="28" t="s">
        <v>76</v>
      </c>
      <c r="E485" s="28" t="s">
        <v>233</v>
      </c>
      <c r="F485" s="28" t="s">
        <v>1415</v>
      </c>
      <c r="G485" s="29"/>
      <c r="H485" s="30">
        <v>1000697</v>
      </c>
      <c r="I485" s="28" t="str">
        <f>VLOOKUP('S&amp;P 500'!$E485,'Converted GISC'!$A$1:$C$159,2,FALSE)</f>
        <v>Health Care Providers &amp; Services</v>
      </c>
    </row>
    <row r="486" spans="1:9" x14ac:dyDescent="0.25">
      <c r="A486" s="25" t="s">
        <v>1416</v>
      </c>
      <c r="B486" s="25" t="s">
        <v>1417</v>
      </c>
      <c r="C486" s="25" t="s">
        <v>106</v>
      </c>
      <c r="D486" s="25" t="s">
        <v>82</v>
      </c>
      <c r="E486" s="25" t="s">
        <v>11</v>
      </c>
      <c r="F486" s="25" t="s">
        <v>268</v>
      </c>
      <c r="G486" s="26">
        <v>39752</v>
      </c>
      <c r="H486" s="27">
        <v>783325</v>
      </c>
      <c r="I486" s="25" t="str">
        <f>VLOOKUP('S&amp;P 500'!$E486,'Converted GISC'!$A$1:$C$159,2,FALSE)</f>
        <v>Electric Utilities</v>
      </c>
    </row>
    <row r="487" spans="1:9" x14ac:dyDescent="0.25">
      <c r="A487" s="28" t="s">
        <v>1418</v>
      </c>
      <c r="B487" s="28" t="s">
        <v>1419</v>
      </c>
      <c r="C487" s="28" t="s">
        <v>106</v>
      </c>
      <c r="D487" s="28" t="s">
        <v>75</v>
      </c>
      <c r="E487" s="28" t="s">
        <v>327</v>
      </c>
      <c r="F487" s="28" t="s">
        <v>442</v>
      </c>
      <c r="G487" s="29">
        <v>27941</v>
      </c>
      <c r="H487" s="30">
        <v>72971</v>
      </c>
      <c r="I487" s="28" t="str">
        <f>VLOOKUP('S&amp;P 500'!$E487,'Converted GISC'!$A$1:$C$159,2,FALSE)</f>
        <v>Banks</v>
      </c>
    </row>
    <row r="488" spans="1:9" x14ac:dyDescent="0.25">
      <c r="A488" s="25" t="s">
        <v>1420</v>
      </c>
      <c r="B488" s="25" t="s">
        <v>1421</v>
      </c>
      <c r="C488" s="25" t="s">
        <v>106</v>
      </c>
      <c r="D488" s="25" t="s">
        <v>80</v>
      </c>
      <c r="E488" s="25" t="s">
        <v>788</v>
      </c>
      <c r="F488" s="25" t="s">
        <v>1422</v>
      </c>
      <c r="G488" s="26">
        <v>39843</v>
      </c>
      <c r="H488" s="27">
        <v>766704</v>
      </c>
      <c r="I488" s="25" t="str">
        <f>VLOOKUP('S&amp;P 500'!$E488,'Converted GISC'!$A$1:$C$159,2,FALSE)</f>
        <v>Equity Real Estate Investment Trusts (REITs)</v>
      </c>
    </row>
    <row r="489" spans="1:9" x14ac:dyDescent="0.25">
      <c r="A489" s="28" t="s">
        <v>1423</v>
      </c>
      <c r="B489" s="28" t="s">
        <v>1424</v>
      </c>
      <c r="C489" s="28" t="s">
        <v>106</v>
      </c>
      <c r="D489" s="28" t="s">
        <v>78</v>
      </c>
      <c r="E489" s="28" t="s">
        <v>62</v>
      </c>
      <c r="F489" s="28" t="s">
        <v>626</v>
      </c>
      <c r="G489" s="29">
        <v>39995</v>
      </c>
      <c r="H489" s="30">
        <v>106040</v>
      </c>
      <c r="I489" s="28" t="str">
        <f>VLOOKUP('S&amp;P 500'!$E489,'Converted GISC'!$A$1:$C$159,2,FALSE)</f>
        <v>Technology Hardware, Storage &amp; Peripherals</v>
      </c>
    </row>
    <row r="490" spans="1:9" x14ac:dyDescent="0.25">
      <c r="A490" s="25" t="s">
        <v>1425</v>
      </c>
      <c r="B490" s="25" t="s">
        <v>1426</v>
      </c>
      <c r="C490" s="25" t="s">
        <v>106</v>
      </c>
      <c r="D490" s="25" t="s">
        <v>78</v>
      </c>
      <c r="E490" s="25" t="s">
        <v>59</v>
      </c>
      <c r="F490" s="25" t="s">
        <v>1427</v>
      </c>
      <c r="G490" s="26"/>
      <c r="H490" s="27">
        <v>1365135</v>
      </c>
      <c r="I490" s="25" t="str">
        <f>VLOOKUP('S&amp;P 500'!$E490,'Converted GISC'!$A$1:$C$159,2,FALSE)</f>
        <v>Internet Software &amp; Services</v>
      </c>
    </row>
    <row r="491" spans="1:9" x14ac:dyDescent="0.25">
      <c r="A491" s="28" t="s">
        <v>1428</v>
      </c>
      <c r="B491" s="28" t="s">
        <v>1429</v>
      </c>
      <c r="C491" s="28" t="s">
        <v>106</v>
      </c>
      <c r="D491" s="28" t="s">
        <v>79</v>
      </c>
      <c r="E491" s="28" t="s">
        <v>316</v>
      </c>
      <c r="F491" s="28" t="s">
        <v>203</v>
      </c>
      <c r="G491" s="29"/>
      <c r="H491" s="30">
        <v>1636023</v>
      </c>
      <c r="I491" s="28" t="str">
        <f>VLOOKUP('S&amp;P 500'!$E491,'Converted GISC'!$A$1:$C$159,2,FALSE)</f>
        <v>Containers &amp; Packaging</v>
      </c>
    </row>
    <row r="492" spans="1:9" x14ac:dyDescent="0.25">
      <c r="A492" s="25" t="s">
        <v>1430</v>
      </c>
      <c r="B492" s="25" t="s">
        <v>1431</v>
      </c>
      <c r="C492" s="25" t="s">
        <v>106</v>
      </c>
      <c r="D492" s="25" t="s">
        <v>80</v>
      </c>
      <c r="E492" s="25" t="s">
        <v>223</v>
      </c>
      <c r="F492" s="25" t="s">
        <v>1432</v>
      </c>
      <c r="G492" s="26"/>
      <c r="H492" s="27">
        <v>106535</v>
      </c>
      <c r="I492" s="25" t="str">
        <f>VLOOKUP('S&amp;P 500'!$E492,'Converted GISC'!$A$1:$C$159,2,FALSE)</f>
        <v>Equity Real Estate Investment Trusts (REITs)</v>
      </c>
    </row>
    <row r="493" spans="1:9" x14ac:dyDescent="0.25">
      <c r="A493" s="28" t="s">
        <v>1433</v>
      </c>
      <c r="B493" s="28" t="s">
        <v>1434</v>
      </c>
      <c r="C493" s="28" t="s">
        <v>106</v>
      </c>
      <c r="D493" s="28" t="s">
        <v>72</v>
      </c>
      <c r="E493" s="28" t="s">
        <v>1268</v>
      </c>
      <c r="F493" s="28" t="s">
        <v>1435</v>
      </c>
      <c r="G493" s="29"/>
      <c r="H493" s="30">
        <v>106640</v>
      </c>
      <c r="I493" s="28" t="str">
        <f>VLOOKUP('S&amp;P 500'!$E493,'Converted GISC'!$A$1:$C$159,2,FALSE)</f>
        <v>Household Durables</v>
      </c>
    </row>
    <row r="494" spans="1:9" x14ac:dyDescent="0.25">
      <c r="A494" s="25" t="s">
        <v>1436</v>
      </c>
      <c r="B494" s="25" t="s">
        <v>1437</v>
      </c>
      <c r="C494" s="25" t="s">
        <v>106</v>
      </c>
      <c r="D494" s="25" t="s">
        <v>74</v>
      </c>
      <c r="E494" s="25" t="s">
        <v>906</v>
      </c>
      <c r="F494" s="25" t="s">
        <v>793</v>
      </c>
      <c r="G494" s="26">
        <v>27484</v>
      </c>
      <c r="H494" s="27">
        <v>107263</v>
      </c>
      <c r="I494" s="25" t="str">
        <f>VLOOKUP('S&amp;P 500'!$E494,'Converted GISC'!$A$1:$C$159,2,FALSE)</f>
        <v>Oil, Gas &amp; Consumable Fuels</v>
      </c>
    </row>
    <row r="495" spans="1:9" x14ac:dyDescent="0.25">
      <c r="A495" s="28" t="s">
        <v>1438</v>
      </c>
      <c r="B495" s="28" t="s">
        <v>1439</v>
      </c>
      <c r="C495" s="28" t="s">
        <v>106</v>
      </c>
      <c r="D495" s="28" t="s">
        <v>75</v>
      </c>
      <c r="E495" s="28" t="s">
        <v>264</v>
      </c>
      <c r="F495" s="28" t="s">
        <v>265</v>
      </c>
      <c r="G495" s="29">
        <v>42374</v>
      </c>
      <c r="H495" s="30">
        <v>1140536</v>
      </c>
      <c r="I495" s="28" t="str">
        <f>VLOOKUP('S&amp;P 500'!$E495,'Converted GISC'!$A$1:$C$159,2,FALSE)</f>
        <v>Insurance</v>
      </c>
    </row>
    <row r="496" spans="1:9" x14ac:dyDescent="0.25">
      <c r="A496" s="25" t="s">
        <v>1440</v>
      </c>
      <c r="B496" s="25" t="s">
        <v>1441</v>
      </c>
      <c r="C496" s="25" t="s">
        <v>106</v>
      </c>
      <c r="D496" s="25" t="s">
        <v>72</v>
      </c>
      <c r="E496" s="25" t="s">
        <v>409</v>
      </c>
      <c r="F496" s="25" t="s">
        <v>1442</v>
      </c>
      <c r="G496" s="26"/>
      <c r="H496" s="27">
        <v>1361658</v>
      </c>
      <c r="I496" s="25" t="str">
        <f>VLOOKUP('S&amp;P 500'!$E496,'Converted GISC'!$A$1:$C$159,2,FALSE)</f>
        <v>Hotels, Restaurants &amp; Leisure</v>
      </c>
    </row>
    <row r="497" spans="1:9" x14ac:dyDescent="0.25">
      <c r="A497" s="28" t="s">
        <v>1443</v>
      </c>
      <c r="B497" s="28" t="s">
        <v>1444</v>
      </c>
      <c r="C497" s="28" t="s">
        <v>106</v>
      </c>
      <c r="D497" s="28" t="s">
        <v>72</v>
      </c>
      <c r="E497" s="28" t="s">
        <v>1001</v>
      </c>
      <c r="F497" s="28" t="s">
        <v>1002</v>
      </c>
      <c r="G497" s="29">
        <v>39766</v>
      </c>
      <c r="H497" s="30">
        <v>1174922</v>
      </c>
      <c r="I497" s="28" t="str">
        <f>VLOOKUP('S&amp;P 500'!$E497,'Converted GISC'!$A$1:$C$159,2,FALSE)</f>
        <v>Hotels, Restaurants &amp; Leisure</v>
      </c>
    </row>
    <row r="498" spans="1:9" x14ac:dyDescent="0.25">
      <c r="A498" s="25" t="s">
        <v>1445</v>
      </c>
      <c r="B498" s="25" t="s">
        <v>1446</v>
      </c>
      <c r="C498" s="25" t="s">
        <v>106</v>
      </c>
      <c r="D498" s="25" t="s">
        <v>82</v>
      </c>
      <c r="E498" s="25" t="s">
        <v>14</v>
      </c>
      <c r="F498" s="25" t="s">
        <v>230</v>
      </c>
      <c r="G498" s="26"/>
      <c r="H498" s="27">
        <v>72903</v>
      </c>
      <c r="I498" s="25" t="str">
        <f>VLOOKUP('S&amp;P 500'!$E498,'Converted GISC'!$A$1:$C$159,2,FALSE)</f>
        <v>Multi-Utilities</v>
      </c>
    </row>
    <row r="499" spans="1:9" x14ac:dyDescent="0.25">
      <c r="A499" s="28" t="s">
        <v>1447</v>
      </c>
      <c r="B499" s="28" t="s">
        <v>1448</v>
      </c>
      <c r="C499" s="28" t="s">
        <v>106</v>
      </c>
      <c r="D499" s="28" t="s">
        <v>78</v>
      </c>
      <c r="E499" s="28" t="s">
        <v>62</v>
      </c>
      <c r="F499" s="28" t="s">
        <v>362</v>
      </c>
      <c r="G499" s="29"/>
      <c r="H499" s="30">
        <v>108772</v>
      </c>
      <c r="I499" s="28" t="str">
        <f>VLOOKUP('S&amp;P 500'!$E499,'Converted GISC'!$A$1:$C$159,2,FALSE)</f>
        <v>Technology Hardware, Storage &amp; Peripherals</v>
      </c>
    </row>
    <row r="500" spans="1:9" x14ac:dyDescent="0.25">
      <c r="A500" s="25" t="s">
        <v>1449</v>
      </c>
      <c r="B500" s="25" t="s">
        <v>1450</v>
      </c>
      <c r="C500" s="25" t="s">
        <v>106</v>
      </c>
      <c r="D500" s="25" t="s">
        <v>78</v>
      </c>
      <c r="E500" s="25" t="s">
        <v>132</v>
      </c>
      <c r="F500" s="25" t="s">
        <v>129</v>
      </c>
      <c r="G500" s="26">
        <v>36472</v>
      </c>
      <c r="H500" s="27">
        <v>743988</v>
      </c>
      <c r="I500" s="25" t="str">
        <f>VLOOKUP('S&amp;P 500'!$E500,'Converted GISC'!$A$1:$C$159,2,FALSE)</f>
        <v>Semiconductors &amp; Semiconductor Equipment</v>
      </c>
    </row>
    <row r="501" spans="1:9" x14ac:dyDescent="0.25">
      <c r="A501" s="28" t="s">
        <v>1451</v>
      </c>
      <c r="B501" s="28" t="s">
        <v>1452</v>
      </c>
      <c r="C501" s="28" t="s">
        <v>106</v>
      </c>
      <c r="D501" s="28" t="s">
        <v>75</v>
      </c>
      <c r="E501" s="28" t="s">
        <v>194</v>
      </c>
      <c r="F501" s="28" t="s">
        <v>663</v>
      </c>
      <c r="G501" s="29"/>
      <c r="H501" s="30">
        <v>875159</v>
      </c>
      <c r="I501" s="28" t="str">
        <f>VLOOKUP('S&amp;P 500'!$E501,'Converted GISC'!$A$1:$C$159,2,FALSE)</f>
        <v>Insurance</v>
      </c>
    </row>
    <row r="502" spans="1:9" x14ac:dyDescent="0.25">
      <c r="A502" s="25" t="s">
        <v>1453</v>
      </c>
      <c r="B502" s="25" t="s">
        <v>1454</v>
      </c>
      <c r="C502" s="25" t="s">
        <v>106</v>
      </c>
      <c r="D502" s="25" t="s">
        <v>77</v>
      </c>
      <c r="E502" s="25" t="s">
        <v>540</v>
      </c>
      <c r="F502" s="25" t="s">
        <v>1455</v>
      </c>
      <c r="G502" s="26">
        <v>40848</v>
      </c>
      <c r="H502" s="27">
        <v>1524472</v>
      </c>
      <c r="I502" s="25" t="str">
        <f>VLOOKUP('S&amp;P 500'!$E502,'Converted GISC'!$A$1:$C$159,2,FALSE)</f>
        <v>Machinery</v>
      </c>
    </row>
    <row r="503" spans="1:9" x14ac:dyDescent="0.25">
      <c r="A503" s="28" t="s">
        <v>1456</v>
      </c>
      <c r="B503" s="28" t="s">
        <v>1457</v>
      </c>
      <c r="C503" s="28" t="s">
        <v>106</v>
      </c>
      <c r="D503" s="28" t="s">
        <v>72</v>
      </c>
      <c r="E503" s="28" t="s">
        <v>456</v>
      </c>
      <c r="F503" s="28" t="s">
        <v>380</v>
      </c>
      <c r="G503" s="29">
        <v>35709</v>
      </c>
      <c r="H503" s="30">
        <v>1041061</v>
      </c>
      <c r="I503" s="28" t="str">
        <f>VLOOKUP('S&amp;P 500'!$E503,'Converted GISC'!$A$1:$C$159,2,FALSE)</f>
        <v>Hotels, Restaurants &amp; Leisure</v>
      </c>
    </row>
    <row r="504" spans="1:9" x14ac:dyDescent="0.25">
      <c r="A504" s="25" t="s">
        <v>1458</v>
      </c>
      <c r="B504" s="25" t="s">
        <v>1459</v>
      </c>
      <c r="C504" s="25" t="s">
        <v>106</v>
      </c>
      <c r="D504" s="25" t="s">
        <v>76</v>
      </c>
      <c r="E504" s="25" t="s">
        <v>110</v>
      </c>
      <c r="F504" s="25" t="s">
        <v>1460</v>
      </c>
      <c r="G504" s="26">
        <v>37110</v>
      </c>
      <c r="H504" s="27">
        <v>1136869</v>
      </c>
      <c r="I504" s="25" t="str">
        <f>VLOOKUP('S&amp;P 500'!$E504,'Converted GISC'!$A$1:$C$159,2,FALSE)</f>
        <v>Health Care Equipment &amp; Supplies</v>
      </c>
    </row>
    <row r="505" spans="1:9" x14ac:dyDescent="0.25">
      <c r="A505" s="28" t="s">
        <v>1461</v>
      </c>
      <c r="B505" s="28" t="s">
        <v>1462</v>
      </c>
      <c r="C505" s="28" t="s">
        <v>106</v>
      </c>
      <c r="D505" s="28" t="s">
        <v>75</v>
      </c>
      <c r="E505" s="28" t="s">
        <v>336</v>
      </c>
      <c r="F505" s="28" t="s">
        <v>676</v>
      </c>
      <c r="G505" s="29"/>
      <c r="H505" s="30">
        <v>109380</v>
      </c>
      <c r="I505" s="28" t="str">
        <f>VLOOKUP('S&amp;P 500'!$E505,'Converted GISC'!$A$1:$C$159,2,FALSE)</f>
        <v>Banks</v>
      </c>
    </row>
    <row r="506" spans="1:9" x14ac:dyDescent="0.25">
      <c r="A506" s="25" t="s">
        <v>1463</v>
      </c>
      <c r="B506" s="25" t="s">
        <v>1464</v>
      </c>
      <c r="C506" s="25" t="s">
        <v>106</v>
      </c>
      <c r="D506" s="25" t="s">
        <v>76</v>
      </c>
      <c r="E506" s="25" t="s">
        <v>41</v>
      </c>
      <c r="F506" s="25" t="s">
        <v>1465</v>
      </c>
      <c r="G506" s="26">
        <v>41446</v>
      </c>
      <c r="H506" s="27">
        <v>1555280</v>
      </c>
      <c r="I506" s="25" t="str">
        <f>VLOOKUP('S&amp;P 500'!$E506,'Converted GISC'!$A$1:$C$159,2,FALSE)</f>
        <v>Pharmaceuticals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64332-037A-4CD4-9871-DBF7225E1B69}">
  <sheetPr codeName="Sheet13"/>
  <dimension ref="A1:M19"/>
  <sheetViews>
    <sheetView workbookViewId="0">
      <selection activeCell="A9" sqref="A9"/>
    </sheetView>
  </sheetViews>
  <sheetFormatPr defaultRowHeight="12.5" x14ac:dyDescent="0.25"/>
  <cols>
    <col min="1" max="1" width="23.6328125" bestFit="1" customWidth="1"/>
    <col min="3" max="3" width="27.90625" bestFit="1" customWidth="1"/>
    <col min="4" max="4" width="27.90625" customWidth="1"/>
    <col min="5" max="5" width="24.7265625" bestFit="1" customWidth="1"/>
    <col min="6" max="6" width="40.6328125" bestFit="1" customWidth="1"/>
    <col min="7" max="7" width="28.54296875" bestFit="1" customWidth="1"/>
    <col min="8" max="8" width="28" bestFit="1" customWidth="1"/>
    <col min="9" max="9" width="40.81640625" bestFit="1" customWidth="1"/>
    <col min="10" max="10" width="20.90625" bestFit="1" customWidth="1"/>
    <col min="11" max="11" width="34.26953125" bestFit="1" customWidth="1"/>
    <col min="12" max="12" width="32.6328125" bestFit="1" customWidth="1"/>
    <col min="13" max="13" width="47.08984375" bestFit="1" customWidth="1"/>
  </cols>
  <sheetData>
    <row r="1" spans="1:13" ht="13" x14ac:dyDescent="0.3">
      <c r="A1" s="8" t="s">
        <v>85</v>
      </c>
      <c r="C1" s="15" t="s">
        <v>72</v>
      </c>
      <c r="D1" s="15" t="s">
        <v>73</v>
      </c>
      <c r="E1" s="8" t="s">
        <v>74</v>
      </c>
      <c r="F1" s="15" t="s">
        <v>75</v>
      </c>
      <c r="G1" s="15" t="s">
        <v>76</v>
      </c>
      <c r="H1" s="15" t="s">
        <v>77</v>
      </c>
      <c r="I1" s="15" t="s">
        <v>78</v>
      </c>
      <c r="J1" s="8" t="s">
        <v>79</v>
      </c>
      <c r="K1" s="8" t="s">
        <v>80</v>
      </c>
      <c r="L1" s="8" t="s">
        <v>87</v>
      </c>
      <c r="M1" s="8" t="s">
        <v>82</v>
      </c>
    </row>
    <row r="2" spans="1:13" x14ac:dyDescent="0.25">
      <c r="A2" s="9" t="s">
        <v>88</v>
      </c>
      <c r="C2" s="13" t="s">
        <v>16</v>
      </c>
      <c r="D2" s="13" t="s">
        <v>28</v>
      </c>
      <c r="E2" s="13" t="s">
        <v>34</v>
      </c>
      <c r="F2" s="1" t="s">
        <v>1505</v>
      </c>
      <c r="G2" s="13" t="s">
        <v>36</v>
      </c>
      <c r="H2" s="13" t="s">
        <v>42</v>
      </c>
      <c r="I2" s="13" t="s">
        <v>56</v>
      </c>
      <c r="J2" s="13" t="s">
        <v>65</v>
      </c>
      <c r="K2" s="13" t="s">
        <v>70</v>
      </c>
      <c r="L2" s="13" t="s">
        <v>63</v>
      </c>
      <c r="M2" s="13" t="s">
        <v>11</v>
      </c>
    </row>
    <row r="3" spans="1:13" x14ac:dyDescent="0.25">
      <c r="A3" s="10" t="s">
        <v>89</v>
      </c>
      <c r="C3" s="14" t="s">
        <v>17</v>
      </c>
      <c r="D3" s="14" t="s">
        <v>29</v>
      </c>
      <c r="E3" s="6" t="s">
        <v>35</v>
      </c>
      <c r="F3" s="1" t="s">
        <v>1510</v>
      </c>
      <c r="G3" s="14" t="s">
        <v>37</v>
      </c>
      <c r="H3" s="14" t="s">
        <v>43</v>
      </c>
      <c r="I3" s="14" t="s">
        <v>57</v>
      </c>
      <c r="J3" s="14" t="s">
        <v>66</v>
      </c>
      <c r="K3" s="6" t="s">
        <v>71</v>
      </c>
      <c r="L3" s="6" t="s">
        <v>64</v>
      </c>
      <c r="M3" s="14" t="s">
        <v>12</v>
      </c>
    </row>
    <row r="4" spans="1:13" x14ac:dyDescent="0.25">
      <c r="A4" s="9" t="s">
        <v>74</v>
      </c>
      <c r="C4" s="13" t="s">
        <v>18</v>
      </c>
      <c r="D4" s="13" t="s">
        <v>30</v>
      </c>
      <c r="F4" s="1" t="s">
        <v>0</v>
      </c>
      <c r="G4" s="13" t="s">
        <v>38</v>
      </c>
      <c r="H4" s="13" t="s">
        <v>44</v>
      </c>
      <c r="I4" s="13" t="s">
        <v>58</v>
      </c>
      <c r="J4" s="13" t="s">
        <v>67</v>
      </c>
      <c r="M4" s="13" t="s">
        <v>13</v>
      </c>
    </row>
    <row r="5" spans="1:13" x14ac:dyDescent="0.25">
      <c r="A5" s="11" t="s">
        <v>75</v>
      </c>
      <c r="C5" s="14" t="s">
        <v>19</v>
      </c>
      <c r="D5" s="14" t="s">
        <v>31</v>
      </c>
      <c r="F5" s="1" t="s">
        <v>1507</v>
      </c>
      <c r="G5" s="14" t="s">
        <v>39</v>
      </c>
      <c r="H5" s="14" t="s">
        <v>45</v>
      </c>
      <c r="I5" s="14" t="s">
        <v>59</v>
      </c>
      <c r="J5" s="14" t="s">
        <v>68</v>
      </c>
      <c r="M5" s="14" t="s">
        <v>14</v>
      </c>
    </row>
    <row r="6" spans="1:13" x14ac:dyDescent="0.25">
      <c r="A6" s="9" t="s">
        <v>90</v>
      </c>
      <c r="C6" s="13" t="s">
        <v>20</v>
      </c>
      <c r="D6" s="13" t="s">
        <v>32</v>
      </c>
      <c r="F6" s="1" t="s">
        <v>1</v>
      </c>
      <c r="G6" s="13" t="s">
        <v>40</v>
      </c>
      <c r="H6" s="13" t="s">
        <v>46</v>
      </c>
      <c r="I6" s="13" t="s">
        <v>60</v>
      </c>
      <c r="J6" s="7" t="s">
        <v>69</v>
      </c>
      <c r="M6" s="7" t="s">
        <v>15</v>
      </c>
    </row>
    <row r="7" spans="1:13" x14ac:dyDescent="0.25">
      <c r="A7" s="11" t="s">
        <v>77</v>
      </c>
      <c r="C7" s="14" t="s">
        <v>21</v>
      </c>
      <c r="D7" s="6" t="s">
        <v>33</v>
      </c>
      <c r="F7" s="1" t="s">
        <v>1512</v>
      </c>
      <c r="G7" s="6" t="s">
        <v>41</v>
      </c>
      <c r="H7" s="14" t="s">
        <v>47</v>
      </c>
      <c r="I7" s="14" t="s">
        <v>61</v>
      </c>
    </row>
    <row r="8" spans="1:13" x14ac:dyDescent="0.25">
      <c r="A8" s="9" t="s">
        <v>91</v>
      </c>
      <c r="C8" s="13" t="s">
        <v>22</v>
      </c>
      <c r="D8" s="1"/>
      <c r="F8" s="1" t="s">
        <v>1132</v>
      </c>
      <c r="H8" s="13" t="s">
        <v>48</v>
      </c>
      <c r="I8" s="7" t="s">
        <v>62</v>
      </c>
    </row>
    <row r="9" spans="1:13" x14ac:dyDescent="0.25">
      <c r="A9" s="11" t="s">
        <v>79</v>
      </c>
      <c r="C9" s="14" t="s">
        <v>23</v>
      </c>
      <c r="D9" s="1"/>
      <c r="H9" s="14" t="s">
        <v>49</v>
      </c>
    </row>
    <row r="10" spans="1:13" x14ac:dyDescent="0.25">
      <c r="A10" s="12" t="s">
        <v>80</v>
      </c>
      <c r="C10" s="13" t="s">
        <v>24</v>
      </c>
      <c r="D10" s="1"/>
      <c r="H10" s="13" t="s">
        <v>50</v>
      </c>
    </row>
    <row r="11" spans="1:13" x14ac:dyDescent="0.25">
      <c r="A11" s="10" t="s">
        <v>87</v>
      </c>
      <c r="C11" s="14" t="s">
        <v>25</v>
      </c>
      <c r="D11" s="1"/>
      <c r="H11" s="14" t="s">
        <v>51</v>
      </c>
    </row>
    <row r="12" spans="1:13" x14ac:dyDescent="0.25">
      <c r="A12" s="5" t="s">
        <v>82</v>
      </c>
      <c r="C12" s="13" t="s">
        <v>26</v>
      </c>
      <c r="D12" s="1"/>
      <c r="H12" s="13" t="s">
        <v>52</v>
      </c>
    </row>
    <row r="13" spans="1:13" x14ac:dyDescent="0.25">
      <c r="C13" s="6" t="s">
        <v>27</v>
      </c>
      <c r="D13" s="1"/>
      <c r="H13" s="14" t="s">
        <v>53</v>
      </c>
    </row>
    <row r="14" spans="1:13" x14ac:dyDescent="0.25">
      <c r="D14" s="1"/>
      <c r="H14" s="13" t="s">
        <v>54</v>
      </c>
    </row>
    <row r="15" spans="1:13" x14ac:dyDescent="0.25">
      <c r="D15" s="1"/>
      <c r="H15" s="6" t="s">
        <v>55</v>
      </c>
    </row>
    <row r="16" spans="1:13" x14ac:dyDescent="0.25">
      <c r="D16" s="1"/>
    </row>
    <row r="17" spans="4:4" x14ac:dyDescent="0.25">
      <c r="D17" s="1"/>
    </row>
    <row r="18" spans="4:4" x14ac:dyDescent="0.25">
      <c r="D18" s="1"/>
    </row>
    <row r="19" spans="4:4" x14ac:dyDescent="0.25">
      <c r="D1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topLeftCell="E1" workbookViewId="0">
      <selection activeCell="G11" sqref="G11"/>
    </sheetView>
  </sheetViews>
  <sheetFormatPr defaultColWidth="14.453125" defaultRowHeight="15.75" customHeight="1" x14ac:dyDescent="0.25"/>
  <cols>
    <col min="1" max="1" width="27.1796875" bestFit="1" customWidth="1"/>
    <col min="2" max="2" width="15.6328125" customWidth="1"/>
    <col min="3" max="3" width="14.7265625" customWidth="1"/>
    <col min="4" max="4" width="16.81640625" customWidth="1"/>
    <col min="5" max="5" width="24.453125" customWidth="1"/>
    <col min="7" max="7" width="40.6328125" bestFit="1" customWidth="1"/>
    <col min="8" max="8" width="21.90625" bestFit="1" customWidth="1"/>
  </cols>
  <sheetData>
    <row r="1" spans="1:8" ht="15.75" customHeight="1" x14ac:dyDescent="0.25">
      <c r="B1" s="1" t="s">
        <v>1505</v>
      </c>
      <c r="C1" s="1" t="s">
        <v>1510</v>
      </c>
      <c r="D1" s="1" t="s">
        <v>0</v>
      </c>
      <c r="E1" s="1" t="s">
        <v>1507</v>
      </c>
      <c r="F1" s="1" t="s">
        <v>1</v>
      </c>
      <c r="G1" s="1" t="s">
        <v>1512</v>
      </c>
      <c r="H1" s="1" t="s">
        <v>1132</v>
      </c>
    </row>
    <row r="2" spans="1:8" ht="15.75" customHeight="1" x14ac:dyDescent="0.25">
      <c r="A2" s="1" t="s">
        <v>2</v>
      </c>
    </row>
    <row r="3" spans="1:8" ht="12.5" x14ac:dyDescent="0.25">
      <c r="A3" s="1" t="s">
        <v>3</v>
      </c>
      <c r="B3" s="3"/>
      <c r="C3" s="3"/>
    </row>
    <row r="4" spans="1:8" ht="12.5" x14ac:dyDescent="0.25">
      <c r="A4" s="1" t="s">
        <v>4</v>
      </c>
      <c r="B4" s="3"/>
      <c r="C4" s="3"/>
    </row>
    <row r="5" spans="1:8" ht="12.5" x14ac:dyDescent="0.25">
      <c r="A5" s="1" t="s">
        <v>5</v>
      </c>
      <c r="B5" s="3"/>
      <c r="C5" s="3"/>
    </row>
    <row r="6" spans="1:8" ht="12.5" x14ac:dyDescent="0.25">
      <c r="A6" s="1" t="s">
        <v>6</v>
      </c>
      <c r="B6" s="3"/>
      <c r="C6" s="3"/>
    </row>
    <row r="7" spans="1:8" ht="12.5" x14ac:dyDescent="0.25">
      <c r="A7" s="1" t="s">
        <v>7</v>
      </c>
      <c r="B7" s="3"/>
      <c r="C7" s="3"/>
      <c r="D7" s="3"/>
    </row>
    <row r="8" spans="1:8" ht="12.5" x14ac:dyDescent="0.25">
      <c r="A8" s="1" t="s">
        <v>8</v>
      </c>
      <c r="B8" s="3"/>
      <c r="C8" s="3"/>
      <c r="D8" s="3"/>
    </row>
    <row r="9" spans="1:8" ht="12.5" x14ac:dyDescent="0.25">
      <c r="A9" s="1" t="s">
        <v>9</v>
      </c>
      <c r="B9" s="3"/>
      <c r="C9" s="3"/>
      <c r="D9" s="3"/>
    </row>
    <row r="10" spans="1:8" ht="12.5" x14ac:dyDescent="0.25">
      <c r="A10" s="1" t="s">
        <v>10</v>
      </c>
      <c r="B10" s="3"/>
      <c r="C10" s="3"/>
      <c r="D10" s="3"/>
    </row>
    <row r="11" spans="1:8" ht="12.5" x14ac:dyDescent="0.25">
      <c r="B11" s="3"/>
      <c r="C11" s="3"/>
      <c r="D11" s="3"/>
    </row>
    <row r="12" spans="1:8" ht="12.5" x14ac:dyDescent="0.25">
      <c r="D12" s="3"/>
    </row>
    <row r="13" spans="1:8" ht="15.75" customHeight="1" x14ac:dyDescent="0.25">
      <c r="A13" s="1"/>
      <c r="D13" s="3"/>
    </row>
    <row r="14" spans="1:8" ht="15.75" customHeight="1" x14ac:dyDescent="0.25">
      <c r="B14" s="4"/>
      <c r="C14" s="4"/>
      <c r="D14" s="4"/>
    </row>
    <row r="15" spans="1:8" ht="15.75" customHeight="1" x14ac:dyDescent="0.25">
      <c r="B15" s="4"/>
      <c r="C15" s="3"/>
      <c r="D15" s="4"/>
    </row>
    <row r="16" spans="1:8" ht="15.75" customHeight="1" x14ac:dyDescent="0.25">
      <c r="B16" s="4"/>
    </row>
    <row r="17" spans="2:2" ht="15.75" customHeight="1" x14ac:dyDescent="0.25">
      <c r="B17" s="4"/>
    </row>
    <row r="18" spans="2:2" ht="15.75" customHeight="1" x14ac:dyDescent="0.25">
      <c r="B18" s="4"/>
    </row>
    <row r="19" spans="2:2" ht="15.75" customHeight="1" x14ac:dyDescent="0.25">
      <c r="B19" s="4"/>
    </row>
    <row r="20" spans="2:2" ht="15.75" customHeight="1" x14ac:dyDescent="0.25">
      <c r="B20" s="4"/>
    </row>
    <row r="21" spans="2:2" ht="15.75" customHeight="1" x14ac:dyDescent="0.25">
      <c r="B21" s="4"/>
    </row>
    <row r="22" spans="2:2" ht="15.75" customHeight="1" x14ac:dyDescent="0.25">
      <c r="B22" s="4"/>
    </row>
    <row r="23" spans="2:2" ht="15.75" customHeight="1" x14ac:dyDescent="0.25">
      <c r="B23" s="4"/>
    </row>
    <row r="24" spans="2:2" ht="15.75" customHeight="1" x14ac:dyDescent="0.25">
      <c r="B24" s="4"/>
    </row>
    <row r="25" spans="2:2" ht="15.75" customHeight="1" x14ac:dyDescent="0.25">
      <c r="B25" s="4"/>
    </row>
    <row r="26" spans="2:2" ht="15.75" customHeight="1" x14ac:dyDescent="0.25">
      <c r="B26" s="4"/>
    </row>
  </sheetData>
  <pageMargins left="0" right="0" top="0" bottom="0" header="0" footer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8"/>
  <sheetViews>
    <sheetView workbookViewId="0">
      <selection activeCell="D9" sqref="D9"/>
    </sheetView>
  </sheetViews>
  <sheetFormatPr defaultColWidth="14.453125" defaultRowHeight="15.75" customHeight="1" x14ac:dyDescent="0.25"/>
  <sheetData>
    <row r="1" spans="2:6" ht="15.75" customHeight="1" x14ac:dyDescent="0.25">
      <c r="B1" s="1" t="s">
        <v>11</v>
      </c>
      <c r="C1" s="1" t="s">
        <v>12</v>
      </c>
      <c r="D1" s="1" t="s">
        <v>13</v>
      </c>
      <c r="E1" s="1" t="s">
        <v>14</v>
      </c>
      <c r="F1" s="1" t="s">
        <v>15</v>
      </c>
    </row>
    <row r="4" spans="2:6" ht="15.75" customHeight="1" x14ac:dyDescent="0.25">
      <c r="B4" s="1"/>
      <c r="D4" s="1"/>
      <c r="E4" s="2"/>
    </row>
    <row r="5" spans="2:6" ht="15.75" customHeight="1" x14ac:dyDescent="0.25">
      <c r="B5" s="1"/>
      <c r="C5" s="1"/>
      <c r="D5" s="1"/>
      <c r="E5" s="1"/>
    </row>
    <row r="6" spans="2:6" ht="15.75" customHeight="1" x14ac:dyDescent="0.25">
      <c r="B6" s="1"/>
      <c r="D6" s="1"/>
    </row>
    <row r="7" spans="2:6" ht="15.75" customHeight="1" x14ac:dyDescent="0.25">
      <c r="B7" s="1"/>
      <c r="D7" s="1"/>
    </row>
    <row r="8" spans="2:6" ht="15.75" customHeight="1" x14ac:dyDescent="0.25">
      <c r="B8" s="1"/>
    </row>
  </sheetData>
  <pageMargins left="0" right="0" top="0" bottom="0" header="0" footer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M12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16" customWidth="1"/>
  </cols>
  <sheetData>
    <row r="1" spans="2:13" ht="15.75" customHeight="1" x14ac:dyDescent="0.25"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  <c r="J1" s="1" t="s">
        <v>24</v>
      </c>
      <c r="K1" s="1" t="s">
        <v>25</v>
      </c>
      <c r="L1" s="1" t="s">
        <v>26</v>
      </c>
      <c r="M1" s="1" t="s">
        <v>27</v>
      </c>
    </row>
    <row r="4" spans="2:13" ht="15.75" customHeight="1" x14ac:dyDescent="0.25">
      <c r="B4" s="1"/>
      <c r="D4" s="1"/>
    </row>
    <row r="5" spans="2:13" ht="15.75" customHeight="1" x14ac:dyDescent="0.25">
      <c r="B5" s="1"/>
      <c r="D5" s="1"/>
    </row>
    <row r="6" spans="2:13" ht="15.75" customHeight="1" x14ac:dyDescent="0.25">
      <c r="B6" s="1"/>
      <c r="D6" s="1"/>
    </row>
    <row r="7" spans="2:13" ht="15.75" customHeight="1" x14ac:dyDescent="0.25">
      <c r="B7" s="1"/>
      <c r="D7" s="1"/>
    </row>
    <row r="8" spans="2:13" ht="15.75" customHeight="1" x14ac:dyDescent="0.25">
      <c r="B8" s="1"/>
      <c r="C8" s="2"/>
      <c r="D8" s="1"/>
      <c r="E8" s="2"/>
    </row>
    <row r="9" spans="2:13" ht="15.75" customHeight="1" x14ac:dyDescent="0.25">
      <c r="B9" s="1"/>
      <c r="D9" s="1"/>
    </row>
    <row r="10" spans="2:13" ht="15.75" customHeight="1" x14ac:dyDescent="0.25">
      <c r="B10" s="1"/>
      <c r="D10" s="1"/>
    </row>
    <row r="11" spans="2:13" ht="15.75" customHeight="1" x14ac:dyDescent="0.25">
      <c r="B11" s="1"/>
      <c r="D11" s="1"/>
    </row>
    <row r="12" spans="2:13" ht="15.75" customHeight="1" x14ac:dyDescent="0.25">
      <c r="B12" s="1"/>
      <c r="D12" s="1"/>
    </row>
  </sheetData>
  <pageMargins left="0" right="0" top="0" bottom="0" header="0" footer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G8"/>
  <sheetViews>
    <sheetView workbookViewId="0">
      <selection activeCell="D9" sqref="D9"/>
    </sheetView>
  </sheetViews>
  <sheetFormatPr defaultColWidth="14.453125" defaultRowHeight="15.75" customHeight="1" x14ac:dyDescent="0.25"/>
  <cols>
    <col min="3" max="3" width="21.54296875" customWidth="1"/>
    <col min="4" max="4" width="16.81640625" customWidth="1"/>
    <col min="5" max="5" width="24.453125" customWidth="1"/>
  </cols>
  <sheetData>
    <row r="1" spans="2:7" ht="15.75" customHeight="1" x14ac:dyDescent="0.25"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</row>
    <row r="3" spans="2:7" ht="15.75" customHeight="1" x14ac:dyDescent="0.25">
      <c r="B3" s="1"/>
      <c r="D3" s="1"/>
    </row>
    <row r="4" spans="2:7" ht="15.75" customHeight="1" x14ac:dyDescent="0.25">
      <c r="B4" s="1"/>
      <c r="D4" s="1"/>
    </row>
    <row r="5" spans="2:7" ht="15.75" customHeight="1" x14ac:dyDescent="0.25">
      <c r="B5" s="1"/>
      <c r="D5" s="1"/>
      <c r="E5" s="2"/>
    </row>
    <row r="6" spans="2:7" ht="15.75" customHeight="1" x14ac:dyDescent="0.25">
      <c r="B6" s="1"/>
      <c r="D6" s="1"/>
      <c r="E6" s="2"/>
    </row>
    <row r="7" spans="2:7" ht="15.75" customHeight="1" x14ac:dyDescent="0.25">
      <c r="B7" s="1"/>
      <c r="D7" s="1"/>
    </row>
    <row r="8" spans="2:7" ht="15.75" customHeight="1" x14ac:dyDescent="0.25">
      <c r="B8" s="1"/>
    </row>
  </sheetData>
  <pageMargins left="0" right="0" top="0" bottom="0" header="0" footer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E6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25.81640625" customWidth="1"/>
    <col min="3" max="3" width="25.54296875" customWidth="1"/>
  </cols>
  <sheetData>
    <row r="1" spans="2:5" ht="15.75" customHeight="1" x14ac:dyDescent="0.25">
      <c r="B1" s="1" t="s">
        <v>34</v>
      </c>
      <c r="C1" s="1" t="s">
        <v>35</v>
      </c>
    </row>
    <row r="5" spans="2:5" ht="15.75" customHeight="1" x14ac:dyDescent="0.25">
      <c r="B5" s="1"/>
      <c r="D5" s="1"/>
      <c r="E5" s="2"/>
    </row>
    <row r="6" spans="2:5" ht="15.75" customHeight="1" x14ac:dyDescent="0.25">
      <c r="B6" s="1"/>
      <c r="D6" s="1"/>
      <c r="E6" s="2"/>
    </row>
  </sheetData>
  <pageMargins left="0" right="0" top="0" bottom="0" header="0" footer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G8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12.81640625" customWidth="1"/>
    <col min="3" max="3" width="29.81640625" customWidth="1"/>
    <col min="4" max="4" width="28.81640625" customWidth="1"/>
    <col min="5" max="5" width="21" customWidth="1"/>
    <col min="6" max="6" width="26.453125" customWidth="1"/>
    <col min="7" max="7" width="14.81640625" customWidth="1"/>
  </cols>
  <sheetData>
    <row r="1" spans="2:7" ht="15.75" customHeight="1" x14ac:dyDescent="0.25">
      <c r="B1" s="1" t="s">
        <v>36</v>
      </c>
      <c r="C1" s="1" t="s">
        <v>37</v>
      </c>
      <c r="D1" s="1" t="s">
        <v>38</v>
      </c>
      <c r="E1" s="1" t="s">
        <v>39</v>
      </c>
      <c r="F1" s="1" t="s">
        <v>40</v>
      </c>
      <c r="G1" s="1" t="s">
        <v>41</v>
      </c>
    </row>
    <row r="3" spans="2:7" ht="15.75" customHeight="1" x14ac:dyDescent="0.25">
      <c r="B3" s="1"/>
      <c r="D3" s="1"/>
    </row>
    <row r="4" spans="2:7" ht="15.75" customHeight="1" x14ac:dyDescent="0.25">
      <c r="B4" s="1"/>
      <c r="D4" s="1"/>
    </row>
    <row r="5" spans="2:7" ht="15.75" customHeight="1" x14ac:dyDescent="0.25">
      <c r="B5" s="1"/>
      <c r="D5" s="1"/>
    </row>
    <row r="6" spans="2:7" ht="15.75" customHeight="1" x14ac:dyDescent="0.25">
      <c r="B6" s="1"/>
      <c r="D6" s="1"/>
    </row>
    <row r="7" spans="2:7" ht="15.75" customHeight="1" x14ac:dyDescent="0.25">
      <c r="B7" s="1"/>
      <c r="D7" s="1"/>
    </row>
    <row r="8" spans="2:7" ht="15.75" customHeight="1" x14ac:dyDescent="0.25">
      <c r="B8" s="1"/>
      <c r="D8" s="1"/>
    </row>
  </sheetData>
  <pageMargins left="0" right="0" top="0" bottom="0" header="0" footer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O17"/>
  <sheetViews>
    <sheetView topLeftCell="F1" workbookViewId="0">
      <selection activeCell="D9" sqref="D9"/>
    </sheetView>
  </sheetViews>
  <sheetFormatPr defaultColWidth="14.453125" defaultRowHeight="15.75" customHeight="1" x14ac:dyDescent="0.25"/>
  <sheetData>
    <row r="1" spans="2:15" ht="15.75" customHeight="1" x14ac:dyDescent="0.25">
      <c r="B1" s="1" t="s">
        <v>42</v>
      </c>
      <c r="C1" s="1" t="s">
        <v>43</v>
      </c>
      <c r="D1" s="1" t="s">
        <v>44</v>
      </c>
      <c r="E1" s="1" t="s">
        <v>45</v>
      </c>
      <c r="F1" s="1" t="s">
        <v>46</v>
      </c>
      <c r="G1" s="1" t="s">
        <v>47</v>
      </c>
      <c r="H1" s="1" t="s">
        <v>48</v>
      </c>
      <c r="I1" s="1" t="s">
        <v>49</v>
      </c>
      <c r="J1" s="1" t="s">
        <v>50</v>
      </c>
      <c r="K1" s="1" t="s">
        <v>51</v>
      </c>
      <c r="L1" s="1" t="s">
        <v>52</v>
      </c>
      <c r="M1" s="1" t="s">
        <v>53</v>
      </c>
      <c r="N1" s="1" t="s">
        <v>54</v>
      </c>
      <c r="O1" s="1" t="s">
        <v>55</v>
      </c>
    </row>
    <row r="4" spans="2:15" ht="15.75" customHeight="1" x14ac:dyDescent="0.25">
      <c r="B4" s="1"/>
      <c r="D4" s="1"/>
    </row>
    <row r="5" spans="2:15" ht="15.75" customHeight="1" x14ac:dyDescent="0.25">
      <c r="B5" s="1"/>
      <c r="D5" s="1"/>
    </row>
    <row r="6" spans="2:15" ht="15.75" customHeight="1" x14ac:dyDescent="0.25">
      <c r="B6" s="1"/>
      <c r="D6" s="1"/>
      <c r="E6" s="2"/>
    </row>
    <row r="7" spans="2:15" ht="15.75" customHeight="1" x14ac:dyDescent="0.25">
      <c r="B7" s="1"/>
      <c r="D7" s="1"/>
    </row>
    <row r="8" spans="2:15" ht="15.75" customHeight="1" x14ac:dyDescent="0.25">
      <c r="B8" s="1"/>
      <c r="C8" s="2"/>
      <c r="D8" s="1"/>
    </row>
    <row r="9" spans="2:15" ht="15.75" customHeight="1" x14ac:dyDescent="0.25">
      <c r="B9" s="1"/>
      <c r="D9" s="1"/>
    </row>
    <row r="10" spans="2:15" ht="15.75" customHeight="1" x14ac:dyDescent="0.25">
      <c r="B10" s="1"/>
      <c r="D10" s="1"/>
    </row>
    <row r="11" spans="2:15" ht="15.75" customHeight="1" x14ac:dyDescent="0.25">
      <c r="B11" s="1"/>
      <c r="D11" s="1"/>
      <c r="E11" s="2"/>
    </row>
    <row r="12" spans="2:15" ht="15.75" customHeight="1" x14ac:dyDescent="0.25">
      <c r="B12" s="1"/>
      <c r="D12" s="1"/>
    </row>
    <row r="13" spans="2:15" ht="15.75" customHeight="1" x14ac:dyDescent="0.25">
      <c r="B13" s="1"/>
      <c r="C13" s="1"/>
      <c r="D13" s="1"/>
      <c r="E13" s="1"/>
    </row>
    <row r="14" spans="2:15" ht="15.75" customHeight="1" x14ac:dyDescent="0.25">
      <c r="B14" s="1"/>
      <c r="D14" s="1"/>
      <c r="E14" s="2"/>
    </row>
    <row r="15" spans="2:15" ht="15.75" customHeight="1" x14ac:dyDescent="0.25">
      <c r="B15" s="1"/>
      <c r="D15" s="1"/>
    </row>
    <row r="16" spans="2:15" ht="15.75" customHeight="1" x14ac:dyDescent="0.25">
      <c r="B16" s="1"/>
      <c r="D16" s="1"/>
    </row>
    <row r="17" spans="2:2" ht="15.75" customHeight="1" x14ac:dyDescent="0.25">
      <c r="B17" s="1"/>
    </row>
  </sheetData>
  <pageMargins left="0" right="0" top="0" bottom="0" header="0" footer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H10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24.453125" customWidth="1"/>
    <col min="3" max="3" width="42.26953125" customWidth="1"/>
    <col min="5" max="5" width="24.7265625" customWidth="1"/>
    <col min="6" max="6" width="38.54296875" customWidth="1"/>
    <col min="8" max="8" width="38.26953125" customWidth="1"/>
  </cols>
  <sheetData>
    <row r="1" spans="2:8" ht="15.75" customHeight="1" x14ac:dyDescent="0.25">
      <c r="B1" s="1" t="s">
        <v>56</v>
      </c>
      <c r="C1" s="1" t="s">
        <v>57</v>
      </c>
      <c r="D1" s="1" t="s">
        <v>58</v>
      </c>
      <c r="E1" s="1" t="s">
        <v>59</v>
      </c>
      <c r="F1" s="1" t="s">
        <v>60</v>
      </c>
      <c r="G1" s="1" t="s">
        <v>61</v>
      </c>
      <c r="H1" s="1" t="s">
        <v>62</v>
      </c>
    </row>
    <row r="4" spans="2:8" ht="15.75" customHeight="1" x14ac:dyDescent="0.25">
      <c r="B4" s="1"/>
      <c r="D4" s="1"/>
    </row>
    <row r="5" spans="2:8" ht="15.75" customHeight="1" x14ac:dyDescent="0.25">
      <c r="B5" s="1"/>
      <c r="D5" s="1"/>
    </row>
    <row r="6" spans="2:8" ht="15.75" customHeight="1" x14ac:dyDescent="0.25">
      <c r="B6" s="1"/>
      <c r="D6" s="1"/>
    </row>
    <row r="7" spans="2:8" ht="15.75" customHeight="1" x14ac:dyDescent="0.25">
      <c r="B7" s="1"/>
      <c r="D7" s="1"/>
    </row>
    <row r="8" spans="2:8" ht="15.75" customHeight="1" x14ac:dyDescent="0.25">
      <c r="B8" s="1"/>
      <c r="D8" s="1"/>
    </row>
    <row r="9" spans="2:8" ht="15.75" customHeight="1" x14ac:dyDescent="0.25">
      <c r="B9" s="1"/>
      <c r="D9" s="1"/>
    </row>
    <row r="10" spans="2:8" ht="15.75" customHeight="1" x14ac:dyDescent="0.25">
      <c r="B10" s="1"/>
    </row>
  </sheetData>
  <pageMargins left="0" right="0" top="0" bottom="0" header="0" footer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E4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33.81640625" customWidth="1"/>
    <col min="3" max="3" width="32.26953125" customWidth="1"/>
  </cols>
  <sheetData>
    <row r="1" spans="2:5" ht="15.75" customHeight="1" x14ac:dyDescent="0.25">
      <c r="B1" s="1" t="s">
        <v>63</v>
      </c>
      <c r="C1" s="1" t="s">
        <v>64</v>
      </c>
    </row>
    <row r="3" spans="2:5" ht="15.75" customHeight="1" x14ac:dyDescent="0.25">
      <c r="B3" s="1"/>
      <c r="D3" s="1"/>
      <c r="E3" s="2"/>
    </row>
    <row r="4" spans="2:5" ht="15.75" customHeight="1" x14ac:dyDescent="0.25">
      <c r="B4" s="1"/>
    </row>
  </sheetData>
  <pageMargins left="0" right="0" top="0" bottom="0" header="0" footer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F8"/>
  <sheetViews>
    <sheetView workbookViewId="0">
      <selection activeCell="D9" sqref="D9"/>
    </sheetView>
  </sheetViews>
  <sheetFormatPr defaultColWidth="14.453125" defaultRowHeight="15.75" customHeight="1" x14ac:dyDescent="0.25"/>
  <cols>
    <col min="3" max="3" width="19.54296875" customWidth="1"/>
    <col min="4" max="4" width="21" customWidth="1"/>
    <col min="6" max="6" width="21.453125" customWidth="1"/>
  </cols>
  <sheetData>
    <row r="1" spans="2:6" ht="15.75" customHeight="1" x14ac:dyDescent="0.25"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</row>
    <row r="4" spans="2:6" ht="15.75" customHeight="1" x14ac:dyDescent="0.25">
      <c r="B4" s="1"/>
      <c r="D4" s="1"/>
    </row>
    <row r="5" spans="2:6" ht="15.75" customHeight="1" x14ac:dyDescent="0.25">
      <c r="B5" s="1"/>
      <c r="D5" s="1"/>
    </row>
    <row r="6" spans="2:6" ht="15.75" customHeight="1" x14ac:dyDescent="0.25">
      <c r="B6" s="1"/>
      <c r="D6" s="1"/>
    </row>
    <row r="7" spans="2:6" ht="15.75" customHeight="1" x14ac:dyDescent="0.25">
      <c r="B7" s="1"/>
      <c r="D7" s="1"/>
    </row>
    <row r="8" spans="2:6" ht="15.75" customHeight="1" x14ac:dyDescent="0.25">
      <c r="B8" s="1"/>
      <c r="C8" s="1"/>
      <c r="D8" s="1"/>
      <c r="E8" s="1"/>
    </row>
  </sheetData>
  <pageMargins left="0" right="0" top="0" bottom="0" header="0" footer="0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E6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31.54296875" customWidth="1"/>
    <col min="3" max="3" width="34.26953125" bestFit="1" customWidth="1"/>
  </cols>
  <sheetData>
    <row r="1" spans="2:5" ht="15.75" customHeight="1" x14ac:dyDescent="0.25">
      <c r="B1" s="1" t="s">
        <v>70</v>
      </c>
      <c r="C1" s="1" t="s">
        <v>71</v>
      </c>
    </row>
    <row r="5" spans="2:5" ht="15.75" customHeight="1" x14ac:dyDescent="0.25">
      <c r="B5" s="1"/>
      <c r="D5" s="1"/>
      <c r="E5" s="2"/>
    </row>
    <row r="6" spans="2:5" ht="15.75" customHeight="1" x14ac:dyDescent="0.25">
      <c r="B6" s="1"/>
    </row>
  </sheetData>
  <pageMargins left="0" right="0" top="0" bottom="0" header="0" footer="0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0B0269-F65F-47FE-90BF-B6B037DC07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12</vt:i4>
      </vt:variant>
    </vt:vector>
  </HeadingPairs>
  <TitlesOfParts>
    <vt:vector size="29" baseType="lpstr">
      <vt:lpstr>User Form</vt:lpstr>
      <vt:lpstr>Companies by Industry</vt:lpstr>
      <vt:lpstr>Converted GISC</vt:lpstr>
      <vt:lpstr>GICS Classification</vt:lpstr>
      <vt:lpstr>S&amp;P 500</vt:lpstr>
      <vt:lpstr>Sectors and Industries</vt:lpstr>
      <vt:lpstr>Financial</vt:lpstr>
      <vt:lpstr>Utility</vt:lpstr>
      <vt:lpstr>Consumer Discretionary</vt:lpstr>
      <vt:lpstr>Consumer Staples</vt:lpstr>
      <vt:lpstr>Energy</vt:lpstr>
      <vt:lpstr>Health Care</vt:lpstr>
      <vt:lpstr>Industrials</vt:lpstr>
      <vt:lpstr>Information Technology</vt:lpstr>
      <vt:lpstr>Telecom</vt:lpstr>
      <vt:lpstr>Material</vt:lpstr>
      <vt:lpstr>Real Estate</vt:lpstr>
      <vt:lpstr>Consumer_Discretionary</vt:lpstr>
      <vt:lpstr>Consumer_Staples</vt:lpstr>
      <vt:lpstr>Energy</vt:lpstr>
      <vt:lpstr>Financials</vt:lpstr>
      <vt:lpstr>Health_Care</vt:lpstr>
      <vt:lpstr>Industrials</vt:lpstr>
      <vt:lpstr>Information_Technology</vt:lpstr>
      <vt:lpstr>Materials</vt:lpstr>
      <vt:lpstr>Real_Estate</vt:lpstr>
      <vt:lpstr>Sector</vt:lpstr>
      <vt:lpstr>Telecommunications</vt:lpstr>
      <vt:lpstr>Utilities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kgunckel</dc:creator>
  <cp:keywords/>
  <dc:description/>
  <cp:lastModifiedBy>kgunckel</cp:lastModifiedBy>
  <cp:revision/>
  <dcterms:created xsi:type="dcterms:W3CDTF">2018-02-22T18:50:19Z</dcterms:created>
  <dcterms:modified xsi:type="dcterms:W3CDTF">2018-03-22T03:17:31Z</dcterms:modified>
  <cp:category/>
  <cp:contentStatus/>
</cp:coreProperties>
</file>